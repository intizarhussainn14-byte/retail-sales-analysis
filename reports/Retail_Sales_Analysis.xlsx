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Data Science\Retail Sales Analysis Dashboard\reports\excel_qa\run_20261017T174111_306326Z\"/>
    </mc:Choice>
  </mc:AlternateContent>
  <xr:revisionPtr revIDLastSave="0" documentId="8_{447C34A1-D7A8-44A4-8EEE-37B6265E5A50}" xr6:coauthVersionLast="47" xr6:coauthVersionMax="47" xr10:uidLastSave="{00000000-0000-0000-0000-000000000000}"/>
  <bookViews>
    <workbookView xWindow="3480" yWindow="2810" windowWidth="14400" windowHeight="7270" xr2:uid="{00000000-000D-0000-FFFF-FFFF00000000}"/>
  </bookViews>
  <sheets>
    <sheet name="Overview" sheetId="1" r:id="rId1"/>
    <sheet name="Monthly Sales" sheetId="2" r:id="rId2"/>
    <sheet name="Top Products" sheetId="3" r:id="rId3"/>
    <sheet name="Country Performance" sheetId="4" r:id="rId4"/>
    <sheet name="Customer Analysis" sheetId="5" r:id="rId5"/>
    <sheet name="Data Quality" sheetId="6" r:id="rId6"/>
    <sheet name="Sources" sheetId="7" r:id="rId7"/>
  </sheets>
  <definedNames>
    <definedName name="_xlnm.Print_Area" localSheetId="3">'Country Performance'!$A$1:$L$71</definedName>
    <definedName name="_xlnm.Print_Area" localSheetId="4">'Customer Analysis'!$A$1:$G$33</definedName>
    <definedName name="_xlnm.Print_Area" localSheetId="5">'Data Quality'!$A$1:$G$35</definedName>
    <definedName name="_xlnm.Print_Area" localSheetId="1">'Monthly Sales'!$A$1:$L$40</definedName>
    <definedName name="_xlnm.Print_Area" localSheetId="0">Overview!$A$1:$G$36</definedName>
    <definedName name="_xlnm.Print_Area" localSheetId="6">Sources!$A$1:$G$50</definedName>
    <definedName name="_xlnm.Print_Area" localSheetId="2">'Top Products'!$A$1:$L$35</definedName>
    <definedName name="_xlnm.Print_Titles" localSheetId="3">'Country Performance'!$1:$2</definedName>
    <definedName name="_xlnm.Print_Titles" localSheetId="4">'Customer Analysis'!$1:$2</definedName>
    <definedName name="_xlnm.Print_Titles" localSheetId="5">'Data Quality'!$1:$2</definedName>
    <definedName name="_xlnm.Print_Titles" localSheetId="1">'Monthly Sales'!$1:$2</definedName>
    <definedName name="_xlnm.Print_Titles" localSheetId="0">Overview!$1:$2</definedName>
    <definedName name="_xlnm.Print_Titles" localSheetId="6">Sources!$1:$2</definedName>
    <definedName name="_xlnm.Print_Titles" localSheetId="2">'Top Products'!$1:$2</definedName>
  </definedNames>
  <calcPr calcId="191029"/>
  <pivotCaches>
    <pivotCache cacheId="4" r:id="rId8"/>
    <pivotCache cacheId="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6" l="1"/>
  <c r="C23" i="6"/>
  <c r="C22" i="6"/>
  <c r="C21" i="6"/>
  <c r="C20" i="6"/>
  <c r="C19" i="6"/>
  <c r="C18" i="6"/>
  <c r="C17" i="6"/>
  <c r="C13" i="6"/>
  <c r="B25" i="5"/>
  <c r="C23" i="5"/>
  <c r="C22" i="5"/>
  <c r="C21" i="5"/>
  <c r="C20" i="5"/>
  <c r="C19" i="5"/>
  <c r="B10" i="5"/>
  <c r="B13" i="1" s="1"/>
  <c r="D13" i="1" s="1"/>
  <c r="B6" i="5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C20" i="2"/>
  <c r="B20" i="2"/>
  <c r="F18" i="2"/>
  <c r="E18" i="2"/>
  <c r="D18" i="2"/>
  <c r="E17" i="2"/>
  <c r="F17" i="2" s="1"/>
  <c r="D17" i="2"/>
  <c r="E16" i="2"/>
  <c r="F16" i="2" s="1"/>
  <c r="D16" i="2"/>
  <c r="E15" i="2"/>
  <c r="F15" i="2" s="1"/>
  <c r="D15" i="2"/>
  <c r="E14" i="2"/>
  <c r="F14" i="2" s="1"/>
  <c r="D14" i="2"/>
  <c r="E13" i="2"/>
  <c r="F13" i="2" s="1"/>
  <c r="D13" i="2"/>
  <c r="E12" i="2"/>
  <c r="F12" i="2" s="1"/>
  <c r="D12" i="2"/>
  <c r="E11" i="2"/>
  <c r="F11" i="2" s="1"/>
  <c r="D11" i="2"/>
  <c r="E10" i="2"/>
  <c r="F10" i="2" s="1"/>
  <c r="D10" i="2"/>
  <c r="F9" i="2"/>
  <c r="E9" i="2"/>
  <c r="D9" i="2"/>
  <c r="E8" i="2"/>
  <c r="F8" i="2" s="1"/>
  <c r="D8" i="2"/>
  <c r="F7" i="2"/>
  <c r="E7" i="2"/>
  <c r="D7" i="2"/>
  <c r="D6" i="2"/>
  <c r="D12" i="1"/>
  <c r="B12" i="1"/>
  <c r="B11" i="1"/>
  <c r="D11" i="1" s="1"/>
  <c r="D9" i="1"/>
  <c r="B9" i="1"/>
  <c r="B8" i="1"/>
  <c r="D8" i="1" s="1"/>
  <c r="B7" i="1"/>
  <c r="E43" i="4" s="1"/>
  <c r="D7" i="1" l="1"/>
  <c r="B10" i="1"/>
  <c r="D10" i="1" s="1"/>
  <c r="E6" i="4"/>
  <c r="E8" i="4"/>
  <c r="E10" i="4"/>
  <c r="E12" i="4"/>
  <c r="E14" i="4"/>
  <c r="E16" i="4"/>
  <c r="E18" i="4"/>
  <c r="E20" i="4"/>
  <c r="E22" i="4"/>
  <c r="E24" i="4"/>
  <c r="E26" i="4"/>
  <c r="E28" i="4"/>
  <c r="E30" i="4"/>
  <c r="E32" i="4"/>
  <c r="E34" i="4"/>
  <c r="E36" i="4"/>
  <c r="E38" i="4"/>
  <c r="E40" i="4"/>
  <c r="E42" i="4"/>
  <c r="E7" i="4"/>
  <c r="E9" i="4"/>
  <c r="E11" i="4"/>
  <c r="E13" i="4"/>
  <c r="E15" i="4"/>
  <c r="E17" i="4"/>
  <c r="E19" i="4"/>
  <c r="E21" i="4"/>
  <c r="E23" i="4"/>
  <c r="E25" i="4"/>
  <c r="E27" i="4"/>
  <c r="E29" i="4"/>
  <c r="E31" i="4"/>
  <c r="E33" i="4"/>
  <c r="E35" i="4"/>
  <c r="E37" i="4"/>
  <c r="E39" i="4"/>
  <c r="E4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</author>
  </authors>
  <commentList>
    <comment ref="B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Units are the verified whole-dataset Python/SQL total. The top-ten tables alone cannot reconstruct all units.</t>
        </r>
      </text>
    </comment>
  </commentList>
</comments>
</file>

<file path=xl/sharedStrings.xml><?xml version="1.0" encoding="utf-8"?>
<sst xmlns="http://schemas.openxmlformats.org/spreadsheetml/2006/main" count="327" uniqueCount="228">
  <si>
    <t>Overview</t>
  </si>
  <si>
    <t>COMPLETED SALES, GBP - excludes cancellations and negative adjustments; not net revenue or profit. Snapshot: 01 Dec 2010 to 09 Dec 2011.</t>
  </si>
  <si>
    <t>Metric</t>
  </si>
  <si>
    <t>Workbook value</t>
  </si>
  <si>
    <t>Python reference</t>
  </si>
  <si>
    <t>Reconciliation</t>
  </si>
  <si>
    <t>Completed-sales revenue GBP</t>
  </si>
  <si>
    <t>Distinct completed orders</t>
  </si>
  <si>
    <t>Units sold</t>
  </si>
  <si>
    <t>Average order value GBP</t>
  </si>
  <si>
    <t>Known unique customers</t>
  </si>
  <si>
    <t>Repeat customers</t>
  </si>
  <si>
    <t>Repeat-customer rate</t>
  </si>
  <si>
    <t>Metric definitions</t>
  </si>
  <si>
    <t>Revenue: Sum of eligible line-rounded integer pence / 100. Per line: Quantity x UnitPrice, ROUND_HALF_UP to GBP 0.01.</t>
  </si>
  <si>
    <t>Completed order: Distinct InvoiceNo containing eligible merchandise; an invoice can have multiple product lines.</t>
  </si>
  <si>
    <t>Units / AOV: Units = sum of eligible Quantity. AOV = completed-sales revenue / distinct completed orders.</t>
  </si>
  <si>
    <t>Known customer: Distinct nonmissing CustomerID with eligible sales. Anonymous sales remain in overall revenue and orders.</t>
  </si>
  <si>
    <t>Repeat rate: Known IDs with at least two distinct completed invoices / all known IDs with eligible sales. Denominator = 4,334.</t>
  </si>
  <si>
    <t>Monthly change: Observed MoM is a diagnostic. Comparable MoM excludes boundary pairs; December 2011 is partial.</t>
  </si>
  <si>
    <t>Product / country: Products group by exact StockCode; no inferred categories. Country is the observed source label.</t>
  </si>
  <si>
    <t>Business questions and scope</t>
  </si>
  <si>
    <t>How much eligible merchandise was sold, through how many orders, and at what average value?</t>
  </si>
  <si>
    <t>Which products and markets lead sales, and how do calendar-covered monthly totals vary?</t>
  </si>
  <si>
    <t>How many known customers return within the observed window, and how do data-quality decisions affect interpretation?</t>
  </si>
  <si>
    <t>Completed view: positive quantities/prices, non-cancellation reviewed product lines, with later exact duplicate copies excluded. This is a dataset-specific portfolio analysis, not a claim of business impact.</t>
  </si>
  <si>
    <t>Native monthly/country PivotTables are based on embedded aggregate summaries. Summary-table filters and pivots do not change full-dataset KPIs. See Sources for regeneration and manual steps.</t>
  </si>
  <si>
    <t>Evidence: all seven MariaDB 10.4.32 result tables matched Python. This workbook reconciles the same outputs; no cleaning or metric definitions were changed.</t>
  </si>
  <si>
    <t>Monthly Sales</t>
  </si>
  <si>
    <t>Native PivotTable: monthly summary</t>
  </si>
  <si>
    <t>Completed-sales revenue is GBP, not net revenue. Dec 2011 is partial through 9 Dec; Dec 2010 is a boundary with completeness unverified.</t>
  </si>
  <si>
    <t>Month</t>
  </si>
  <si>
    <t>Revenue GBP</t>
  </si>
  <si>
    <t>Completed orders</t>
  </si>
  <si>
    <t>AOV GBP</t>
  </si>
  <si>
    <t>Observed MoM %</t>
  </si>
  <si>
    <t>Comparable MoM %</t>
  </si>
  <si>
    <t>Coverage note</t>
  </si>
  <si>
    <t>BOUNDARY - starts day 1; completeness unverified</t>
  </si>
  <si>
    <t>Interior calendar month</t>
  </si>
  <si>
    <t>PARTIAL - through 09 Dec 2011</t>
  </si>
  <si>
    <t>Full-dataset total</t>
  </si>
  <si>
    <t>Top Products</t>
  </si>
  <si>
    <t>Separate top tens from the verified Python/MariaDB results. Exact StockCode is the key; descriptions are observed labels, not categories.</t>
  </si>
  <si>
    <t>Rank</t>
  </si>
  <si>
    <t>StockCode</t>
  </si>
  <si>
    <t>Description</t>
  </si>
  <si>
    <t>22423</t>
  </si>
  <si>
    <t>REGENCY CAKESTAND 3 TIER</t>
  </si>
  <si>
    <t>23843</t>
  </si>
  <si>
    <t>PAPER CRAFT , LITTLE BIRDIE</t>
  </si>
  <si>
    <t>85123A</t>
  </si>
  <si>
    <t>CREAM HANGING HEART T-LIGHT HOLDER</t>
  </si>
  <si>
    <t>47566</t>
  </si>
  <si>
    <t>PARTY BUNTING</t>
  </si>
  <si>
    <t>85099B</t>
  </si>
  <si>
    <t>JUMBO BAG RED RETROSPOT</t>
  </si>
  <si>
    <t>23166</t>
  </si>
  <si>
    <t>MEDIUM CERAMIC TOP STORAGE JAR</t>
  </si>
  <si>
    <t>23084</t>
  </si>
  <si>
    <t>RABBIT NIGHT LIGHT</t>
  </si>
  <si>
    <t>22086</t>
  </si>
  <si>
    <t xml:space="preserve">PAPER CHAIN KIT 50'S CHRISTMAS </t>
  </si>
  <si>
    <t>84879</t>
  </si>
  <si>
    <t>ASSORTED COLOUR BIRD ORNAMENT</t>
  </si>
  <si>
    <t>79321</t>
  </si>
  <si>
    <t>CHILLI LIGHTS</t>
  </si>
  <si>
    <t>22197</t>
  </si>
  <si>
    <t>POPCORN HOLDER</t>
  </si>
  <si>
    <t>84077</t>
  </si>
  <si>
    <t>WORLD WAR 2 GLIDERS ASSTD DESIGNS</t>
  </si>
  <si>
    <t>21212</t>
  </si>
  <si>
    <t>PACK OF 72 RETROSPOT CAKE CASES</t>
  </si>
  <si>
    <t>22492</t>
  </si>
  <si>
    <t xml:space="preserve">MINI PAINT SET VINTAGE </t>
  </si>
  <si>
    <t>Country Performance</t>
  </si>
  <si>
    <t>Native PivotTable: country summary</t>
  </si>
  <si>
    <t>All countries remain in the table. Chart excludes the UK so smaller markets are readable; the title states this explicitly. Anonymous sales remain included.</t>
  </si>
  <si>
    <t>Country</t>
  </si>
  <si>
    <t>Revenue share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</si>
  <si>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</si>
  <si>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</si>
  <si>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</si>
  <si>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</si>
  <si>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</si>
  <si>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</si>
  <si>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</si>
  <si>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</si>
  <si>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Japan</t>
  </si>
  <si>
    <t>Belgium</t>
  </si>
  <si>
    <t>Sweden</t>
  </si>
  <si>
    <t>Norway</t>
  </si>
  <si>
    <t>Portugal</t>
  </si>
  <si>
    <t>Channel Islands</t>
  </si>
  <si>
    <t>Finland</t>
  </si>
  <si>
    <t>Denmark</t>
  </si>
  <si>
    <t>Italy</t>
  </si>
  <si>
    <t>Cyprus</t>
  </si>
  <si>
    <t>Hong Kong</t>
  </si>
  <si>
    <t>Singapore</t>
  </si>
  <si>
    <t>Austria</t>
  </si>
  <si>
    <t>Israel</t>
  </si>
  <si>
    <t>Poland</t>
  </si>
  <si>
    <t>Unspecified</t>
  </si>
  <si>
    <t>Greece</t>
  </si>
  <si>
    <t>Iceland</t>
  </si>
  <si>
    <t>USA</t>
  </si>
  <si>
    <t>Canada</t>
  </si>
  <si>
    <t>Malta</t>
  </si>
  <si>
    <t>United Arab Emirates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</si>
  <si>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</si>
  <si>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</si>
  <si>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</si>
  <si>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</si>
  <si>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</si>
  <si>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</si>
  <si>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</si>
  <si>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</si>
  <si>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Customer Analysis</t>
  </si>
  <si>
    <t>Repeat customer = known ID with at least two distinct completed invoices in this observation window. Anonymous sales are not one fabricated customer.</t>
  </si>
  <si>
    <t>Customer metric</t>
  </si>
  <si>
    <t>Value</t>
  </si>
  <si>
    <t>Definition</t>
  </si>
  <si>
    <t>Known customers</t>
  </si>
  <si>
    <t>Distinct nonmissing eligible CustomerID</t>
  </si>
  <si>
    <t>Known-customer denominator</t>
  </si>
  <si>
    <t>Known customers with at least one completed order</t>
  </si>
  <si>
    <t>At least two distinct completed invoices</t>
  </si>
  <si>
    <t>One-order customers</t>
  </si>
  <si>
    <t>Exactly one completed invoice</t>
  </si>
  <si>
    <t>Repeat customers / known-customer denominator</t>
  </si>
  <si>
    <t>Known-customer orders</t>
  </si>
  <si>
    <t>Distinct eligible invoices for known IDs</t>
  </si>
  <si>
    <t>Known-customer revenue GBP</t>
  </si>
  <si>
    <t>Anonymous sales excluded only from this customer metric</t>
  </si>
  <si>
    <t>Eligible anonymous lines</t>
  </si>
  <si>
    <t>Remain in overall sales and orders</t>
  </si>
  <si>
    <t>Purchase frequency of known customers</t>
  </si>
  <si>
    <t>Completed-order band</t>
  </si>
  <si>
    <t>Share of known IDs</t>
  </si>
  <si>
    <t>1 order</t>
  </si>
  <si>
    <t>2 orders</t>
  </si>
  <si>
    <t>3-4 orders</t>
  </si>
  <si>
    <t>5-9 orders</t>
  </si>
  <si>
    <t>10+ orders</t>
  </si>
  <si>
    <t>Reconciled known IDs</t>
  </si>
  <si>
    <t>The rate is 2,829 / 4,334 = 65.27% after display rounding. It is not lifetime retention, a cohort retention rate or a causal effect.</t>
  </si>
  <si>
    <t>Frequency bands are derived solely from each known customer's verified distinct completed-order count. No product categories or customer identities were inferred.</t>
  </si>
  <si>
    <t>Data Quality</t>
  </si>
  <si>
    <t>Sequential rule exclusions are disjoint; issue flags overlap. Signed excluded line values are not lost revenue or net returns.</t>
  </si>
  <si>
    <t>First applicable exclusion rule</t>
  </si>
  <si>
    <t>Before rows</t>
  </si>
  <si>
    <t>Excluded rows</t>
  </si>
  <si>
    <t>After rows</t>
  </si>
  <si>
    <t>Signed value GBP</t>
  </si>
  <si>
    <t>Absolute value GBP</t>
  </si>
  <si>
    <t>invalid_required_fields</t>
  </si>
  <si>
    <t>cancellation</t>
  </si>
  <si>
    <t>nonpositive_quantity</t>
  </si>
  <si>
    <t>nonpositive_price</t>
  </si>
  <si>
    <t>nonproduct_or_unreviewed_code</t>
  </si>
  <si>
    <t>exact_duplicate_extra</t>
  </si>
  <si>
    <t>Total excluded lines</t>
  </si>
  <si>
    <t>Overlapping issue / retained group</t>
  </si>
  <si>
    <t>Lines</t>
  </si>
  <si>
    <t>Share of denominator</t>
  </si>
  <si>
    <t>Denominator / interpretation</t>
  </si>
  <si>
    <t>Raw lines missing CustomerID</t>
  </si>
  <si>
    <t>All 541,909 source lines</t>
  </si>
  <si>
    <t>All 522,540 eligible lines</t>
  </si>
  <si>
    <t>Missing descriptions</t>
  </si>
  <si>
    <t>All source lines</t>
  </si>
  <si>
    <t>Cancellation lines</t>
  </si>
  <si>
    <t>Negative quantities</t>
  </si>
  <si>
    <t>Nonpositive prices</t>
  </si>
  <si>
    <t>Exact duplicate extras (source)</t>
  </si>
  <si>
    <t>All source lines; overlaps earlier exclusions</t>
  </si>
  <si>
    <t>Conversion failures</t>
  </si>
  <si>
    <t>Actual conversions; zero for this input</t>
  </si>
  <si>
    <t>Limitations and interpretation</t>
  </si>
  <si>
    <t>Completed-sales revenue is not net revenue or profit. Cancellations, negative adjustments, nonpositive prices and reviewed non-product items are excluded.</t>
  </si>
  <si>
    <t>5,268 source duplicate extras were flagged. The final duplicate rule removed 5,221 otherwise eligible lines worth GBP 24,213.74; 47 extras had already been excluded by earlier rules.</t>
  </si>
  <si>
    <t>Exact-duplicate removal is an assumption: identical lines can be legitimate. InvoiceNo is never deduplicated by itself. The source workbook is unchanged.</t>
  </si>
  <si>
    <t>Missing customer IDs restrict customer metrics but do not invalidate sales. Do not fill all unknown IDs with one customer. Missing descriptions alone do not invalidate recognized merchandise.</t>
  </si>
  <si>
    <t>Dec 2010: starts day 1 but completeness unverified. Dec 2011: partial through 9 Dec. Do not compare boundary months with full months without qualification.</t>
  </si>
  <si>
    <t>Case-distinct product codes remain separate. Large transactions remain and may affect rankings. Descriptions vary; no categories, costs, profit, return-to-sale matches or causal explanations are invented.</t>
  </si>
  <si>
    <t>Sources</t>
  </si>
  <si>
    <t>Traceable snapshot of verified Python outputs and MariaDB reconciliation. No cleaning rules were changed.</t>
  </si>
  <si>
    <t>Dataset attribution and analytical lineage</t>
  </si>
  <si>
    <t>Chen, D. (2015). Online Retail [Dataset]. UCI Machine Learning Repository.</t>
  </si>
  <si>
    <t>Dataset: https://archive.ics.uci.edu/dataset/352/online+retail</t>
  </si>
  <si>
    <t>DOI: https://doi.org/10.24432/C5BW33 | License: https://creativecommons.org/licenses/by/4.0/</t>
  </si>
  <si>
    <t>CC BY 4.0: give credit, link the license, indicate modifications and do not imply endorsement. Cleaning and aggregation are project modifications.</t>
  </si>
  <si>
    <t>Observed coverage: 01 Dec 2010 08:26 to 09 Dec 2011 12:50. Dec 2010 begins on day 1 but completeness is unverified; Dec 2011 is partial.</t>
  </si>
  <si>
    <t>Analysis input: reports/analysis_20261017T165141_531793Z</t>
  </si>
  <si>
    <t>Cleaning evidence: reports/cleaning_20261017T165110_899648Z/cleaning_summary.json</t>
  </si>
  <si>
    <t>MariaDB 10.4.32: all seven equivalent SQL tables matched Python. See reports/sql_reconciliation.md.</t>
  </si>
  <si>
    <t>Cleaned input SHA-256: 094fbf634055c2cd3f6410cf0ebaff28948c24cee62ccba7461d4d0f73bb202a</t>
  </si>
  <si>
    <t>Raw SHA-256: 43465a06f2ccf7c8b5bd2892bc7defb52f97487934fe93b16ae4c3936424676d</t>
  </si>
  <si>
    <t>Historical analysis files may say SQL was unexecuted at generation; the later SQL reconciliation report is the current evidence.</t>
  </si>
  <si>
    <t>Verified reference metric</t>
  </si>
  <si>
    <t>Python value</t>
  </si>
  <si>
    <t>Unit / role</t>
  </si>
  <si>
    <t>GBP</t>
  </si>
  <si>
    <t>Count</t>
  </si>
  <si>
    <t>Repeat rate (rounded reference)</t>
  </si>
  <si>
    <t>Rate</t>
  </si>
  <si>
    <t>Retained missing-customer lines</t>
  </si>
  <si>
    <t>Raw rows</t>
  </si>
  <si>
    <t>Completed-sales rows</t>
  </si>
  <si>
    <t>Regenerate and refresh</t>
  </si>
  <si>
    <t>From the project root: .\.venv\Scripts\python.exe src/build_excel.py</t>
  </si>
  <si>
    <t>To regenerate an existing workbook safely: .\.venv\Scripts\python.exe src/build_excel.py --replace</t>
  </si>
  <si>
    <t>The --replace option archives the existing workbook before replacement. Requirements: Python environment plus installed Windows Microsoft Excel for calculation, native pivots and preview export.</t>
  </si>
  <si>
    <t>For a new verified analysis: pass --analysis reports/ANALYSIS_RUN and --sql-evidence reports/SQL_RECONCILIATION.json. They must refer to the same data.</t>
  </si>
  <si>
    <t>Refresh All updates embedded PivotTable caches only. It does not rerun Python or fetch CSV changes. Regenerate to replace the snapshot and rerun validation.</t>
  </si>
  <si>
    <t>Summary table filters and PivotTable filters do not recalculate the full-dataset Overview cards. Charts reference their nearby summary data; restore filters before reconciliation.</t>
  </si>
  <si>
    <t>See reports/excel_refresh_and_pivottables.md for exact transaction-level Power Query/Data Model steps. Distinct invoices are essential: ordinary Count of invoice lines is not order count.</t>
  </si>
  <si>
    <t>Native PivotTables and manual recreation</t>
  </si>
  <si>
    <t>Manual monthly pivot: click MonthlySummary &gt; Insert &gt; PivotTable &gt; Existing Worksheet &gt; Monthly Sales!I5. Rows = Month; Values = Sum of Revenue GBP and Sum of Completed orders; format month as mmm yyyy and GBP with two decimals.</t>
  </si>
  <si>
    <t>Manual country pivot: click CountrySummary &gt; Insert &gt; PivotTable &gt; Existing Worksheet &gt; Country Performance!I5. Rows = Country; Values = Sum of Revenue GBP and Sum of Completed orders; format GBP, sort revenue descending.</t>
  </si>
  <si>
    <t>These pivots summarize already verified aggregate rows. They do not provide transaction drill-through or new distinct-customer calculations. Country/month order sums are valid because invoice attribution checks passed.</t>
  </si>
  <si>
    <t>The other formatted blocks are summary tables, not PivotTables. For a new transaction-level PivotTable use the separate manual guide and the full cleaned source, never just a top-ten table.</t>
  </si>
  <si>
    <t>Repeat rate denominator: all known IDs with eligible sales in this observation window. Anonymous sales remain in overall sales and are excluded only from customer-specific measures.</t>
  </si>
  <si>
    <t>Grand Total</t>
  </si>
  <si>
    <t>Revenue GBP (sum)</t>
  </si>
  <si>
    <t>Completed orders (sum)</t>
  </si>
  <si>
    <t>Native Excel PivotTables created: MonthlySalesPivot (Monthly Sales!I5) and CountrySalesPivot (Country Performance!I5). Both summarize embedded verified aggregate rows, not transaction-level facts.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</si>
</sst>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;[Red]\(&quot;£&quot;#,##0.00\)"/>
    <numFmt numFmtId="165" formatCode="0.00%;[Red]\(0.00%\)"/>
    <numFmt numFmtId="167" formatCode="mmm\ yyyy"/>
    <numFmt numFmtId="168" formatCode="\£#,##0.00;[Red]\(\£#,##0.00\)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rgb="FF087E8B"/>
      <name val="Calibri"/>
      <family val="2"/>
    </font>
    <font>
      <b/>
      <sz val="24"/>
      <color rgb="FFFFFFFF"/>
      <name val="Calibri"/>
      <family val="2"/>
    </font>
    <font>
      <sz val="11"/>
      <color rgb="FF17324D"/>
      <name val="Calibri"/>
      <family val="2"/>
    </font>
    <font>
      <b/>
      <sz val="12"/>
      <color rgb="FFFFFFFF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1CC"/>
      </patternFill>
    </fill>
    <fill>
      <patternFill patternType="solid">
        <fgColor rgb="FFEA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0" xfId="0" applyFont="1" applyFill="1" applyAlignment="1">
      <alignment vertical="center"/>
    </xf>
    <xf numFmtId="0" fontId="0" fillId="0" borderId="0" xfId="0" applyFont="1"/>
    <xf numFmtId="0" fontId="4" fillId="3" borderId="0" xfId="0" applyFont="1" applyFill="1" applyAlignment="1">
      <alignment vertical="center" wrapText="1"/>
    </xf>
    <xf numFmtId="0" fontId="0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164" fontId="0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0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0" fillId="0" borderId="0" xfId="0" applyNumberFormat="1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0" fillId="0" borderId="0" xfId="0" applyFont="1" applyAlignment="1">
      <alignment wrapText="1"/>
    </xf>
    <xf numFmtId="167" fontId="0" fillId="3" borderId="0" xfId="0" applyNumberFormat="1" applyFont="1" applyFill="1" applyAlignment="1">
      <alignment vertical="center" wrapText="1"/>
    </xf>
    <xf numFmtId="164" fontId="0" fillId="3" borderId="0" xfId="0" applyNumberFormat="1" applyFont="1" applyFill="1" applyAlignment="1">
      <alignment vertical="center"/>
    </xf>
    <xf numFmtId="3" fontId="0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0" fillId="3" borderId="0" xfId="0" applyNumberFormat="1" applyFont="1" applyFill="1" applyAlignment="1">
      <alignment vertical="center"/>
    </xf>
    <xf numFmtId="0" fontId="0" fillId="3" borderId="0" xfId="0" applyFont="1" applyFill="1" applyAlignment="1">
      <alignment vertical="center" wrapText="1"/>
    </xf>
    <xf numFmtId="167" fontId="0" fillId="0" borderId="0" xfId="0" applyNumberFormat="1" applyFont="1" applyAlignment="1">
      <alignment vertical="center" wrapText="1"/>
    </xf>
    <xf numFmtId="165" fontId="2" fillId="3" borderId="0" xfId="0" applyNumberFormat="1" applyFont="1" applyFill="1" applyAlignment="1">
      <alignment vertical="center"/>
    </xf>
    <xf numFmtId="164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167" fontId="6" fillId="0" borderId="0" xfId="0" applyNumberFormat="1" applyFont="1"/>
    <xf numFmtId="168" fontId="6" fillId="0" borderId="0" xfId="0" applyNumberFormat="1" applyFont="1"/>
    <xf numFmtId="3" fontId="6" fillId="0" borderId="0" xfId="0" applyNumberFormat="1" applyFont="1"/>
    <xf numFmtId="0" fontId="6" fillId="0" borderId="0" xfId="0" pivotButton="1" applyFont="1" applyAlignment="1">
      <alignment wrapText="1"/>
    </xf>
    <xf numFmtId="0" fontId="6" fillId="0" borderId="0" xfId="0" applyFont="1" applyAlignment="1">
      <alignment wrapText="1"/>
    </xf>
    <xf numFmtId="3" fontId="0" fillId="0" borderId="0" xfId="0" applyNumberFormat="1" applyFont="1" applyAlignment="1">
      <alignment vertical="center" wrapText="1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94"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strike val="0"/>
        <outline val="0"/>
        <shadow val="0"/>
        <u val="none"/>
        <vertAlign val="baseline"/>
        <name val="Calibri"/>
      </font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sales (GBP) - Dec 2011 partial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sales (GBP) - Dec 2011 partial</c:v>
          </c:tx>
          <c:spPr>
            <a:ln w="25400">
              <a:solidFill>
                <a:srgbClr val="087E8B"/>
              </a:solidFill>
            </a:ln>
          </c:spPr>
          <c:marker>
            <c:symbol val="circle"/>
            <c:size val="4"/>
            <c:spPr>
              <a:ln w="25400">
                <a:solidFill>
                  <a:srgbClr val="087E8B"/>
                </a:solidFill>
              </a:ln>
            </c:spPr>
          </c:marker>
          <c:cat>
            <c:numRef>
              <c:f>'Monthly Sales'!$A$6:$A$18</c:f>
              <c:numCache>
                <c:formatCode>mmm\ 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'Monthly Sales'!$B$6:$B$18</c:f>
              <c:numCache>
                <c:formatCode>"£"#,##0.00;[Red]\("£"#,##0.00\)</c:formatCode>
                <c:ptCount val="13"/>
                <c:pt idx="0">
                  <c:v>775638.36</c:v>
                </c:pt>
                <c:pt idx="1">
                  <c:v>670380.24</c:v>
                </c:pt>
                <c:pt idx="2">
                  <c:v>507799.87</c:v>
                </c:pt>
                <c:pt idx="3">
                  <c:v>689833.51</c:v>
                </c:pt>
                <c:pt idx="4">
                  <c:v>515377.99</c:v>
                </c:pt>
                <c:pt idx="5">
                  <c:v>739953</c:v>
                </c:pt>
                <c:pt idx="6">
                  <c:v>737558.98</c:v>
                </c:pt>
                <c:pt idx="7">
                  <c:v>688219.34</c:v>
                </c:pt>
                <c:pt idx="8">
                  <c:v>724216.5</c:v>
                </c:pt>
                <c:pt idx="9">
                  <c:v>1028320.38</c:v>
                </c:pt>
                <c:pt idx="10">
                  <c:v>1103314.25</c:v>
                </c:pt>
                <c:pt idx="11">
                  <c:v>1452115.98</c:v>
                </c:pt>
                <c:pt idx="12">
                  <c:v>614490.92000000004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55-4166-8DEE-8814465A3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839152"/>
        <c:axId val="512837040"/>
      </c:lineChart>
      <c:dateAx>
        <c:axId val="51283915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512837040"/>
        <c:crosses val="autoZero"/>
        <c:auto val="0"/>
        <c:lblOffset val="100"/>
        <c:baseTimeUnit val="months"/>
        <c:majorUnit val="1"/>
        <c:majorTimeUnit val="months"/>
      </c:dateAx>
      <c:valAx>
        <c:axId val="51283704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numFmt formatCode="\£#,##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5128391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products by revenue (GBP)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products by revenue (GBP)</c:v>
          </c:tx>
          <c:spPr>
            <a:solidFill>
              <a:srgbClr val="087E8B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'Top Products'!$B$6:$B$15</c:f>
              <c:strCache>
                <c:ptCount val="10"/>
                <c:pt idx="0">
                  <c:v>22423</c:v>
                </c:pt>
                <c:pt idx="1">
                  <c:v>23843</c:v>
                </c:pt>
                <c:pt idx="2">
                  <c:v>85123A</c:v>
                </c:pt>
                <c:pt idx="3">
                  <c:v>47566</c:v>
                </c:pt>
                <c:pt idx="4">
                  <c:v>85099B</c:v>
                </c:pt>
                <c:pt idx="5">
                  <c:v>23166</c:v>
                </c:pt>
                <c:pt idx="6">
                  <c:v>23084</c:v>
                </c:pt>
                <c:pt idx="7">
                  <c:v>22086</c:v>
                </c:pt>
                <c:pt idx="8">
                  <c:v>84879</c:v>
                </c:pt>
                <c:pt idx="9">
                  <c:v>79321</c:v>
                </c:pt>
              </c:strCache>
            </c:strRef>
          </c:cat>
          <c:val>
            <c:numRef>
              <c:f>'Top Products'!$E$6:$E$15</c:f>
              <c:numCache>
                <c:formatCode>"£"#,##0.00;[Red]\("£"#,##0.00\)</c:formatCode>
                <c:ptCount val="10"/>
                <c:pt idx="0">
                  <c:v>174156.54</c:v>
                </c:pt>
                <c:pt idx="1">
                  <c:v>168469.6</c:v>
                </c:pt>
                <c:pt idx="2">
                  <c:v>104462.75</c:v>
                </c:pt>
                <c:pt idx="3">
                  <c:v>99445.23</c:v>
                </c:pt>
                <c:pt idx="4">
                  <c:v>94159.81</c:v>
                </c:pt>
                <c:pt idx="5">
                  <c:v>81700.92</c:v>
                </c:pt>
                <c:pt idx="6">
                  <c:v>66870.03</c:v>
                </c:pt>
                <c:pt idx="7">
                  <c:v>64875.59</c:v>
                </c:pt>
                <c:pt idx="8">
                  <c:v>58927.62</c:v>
                </c:pt>
                <c:pt idx="9">
                  <c:v>54096.36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1D-42C9-9F0C-18F57EB70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2841968"/>
        <c:axId val="512842320"/>
      </c:barChart>
      <c:catAx>
        <c:axId val="51284196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512842320"/>
        <c:crosses val="autoZero"/>
        <c:auto val="1"/>
        <c:lblAlgn val="ctr"/>
        <c:lblOffset val="100"/>
        <c:noMultiLvlLbl val="0"/>
      </c:catAx>
      <c:valAx>
        <c:axId val="51284232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6E6E6"/>
              </a:solidFill>
            </a:ln>
          </c:spPr>
        </c:majorGridlines>
        <c:numFmt formatCode="\£#,##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512841968"/>
        <c:crosses val="max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products by units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products by units</c:v>
          </c:tx>
          <c:spPr>
            <a:solidFill>
              <a:srgbClr val="087E8B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'Top Products'!$B$24:$B$33</c:f>
              <c:strCache>
                <c:ptCount val="10"/>
                <c:pt idx="0">
                  <c:v>23843</c:v>
                </c:pt>
                <c:pt idx="1">
                  <c:v>23166</c:v>
                </c:pt>
                <c:pt idx="2">
                  <c:v>22197</c:v>
                </c:pt>
                <c:pt idx="3">
                  <c:v>84077</c:v>
                </c:pt>
                <c:pt idx="4">
                  <c:v>85099B</c:v>
                </c:pt>
                <c:pt idx="5">
                  <c:v>85123A</c:v>
                </c:pt>
                <c:pt idx="6">
                  <c:v>21212</c:v>
                </c:pt>
                <c:pt idx="7">
                  <c:v>84879</c:v>
                </c:pt>
                <c:pt idx="8">
                  <c:v>23084</c:v>
                </c:pt>
                <c:pt idx="9">
                  <c:v>22492</c:v>
                </c:pt>
              </c:strCache>
            </c:strRef>
          </c:cat>
          <c:val>
            <c:numRef>
              <c:f>'Top Products'!$D$24:$D$33</c:f>
              <c:numCache>
                <c:formatCode>#,##0</c:formatCode>
                <c:ptCount val="10"/>
                <c:pt idx="0">
                  <c:v>80995</c:v>
                </c:pt>
                <c:pt idx="1">
                  <c:v>78033</c:v>
                </c:pt>
                <c:pt idx="2">
                  <c:v>56898</c:v>
                </c:pt>
                <c:pt idx="3">
                  <c:v>54951</c:v>
                </c:pt>
                <c:pt idx="4">
                  <c:v>48371</c:v>
                </c:pt>
                <c:pt idx="5">
                  <c:v>37641</c:v>
                </c:pt>
                <c:pt idx="6">
                  <c:v>36396</c:v>
                </c:pt>
                <c:pt idx="7">
                  <c:v>36362</c:v>
                </c:pt>
                <c:pt idx="8">
                  <c:v>30739</c:v>
                </c:pt>
                <c:pt idx="9">
                  <c:v>26633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E7-4746-B9A9-D3A59C94E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780888"/>
        <c:axId val="513781240"/>
      </c:barChart>
      <c:catAx>
        <c:axId val="51378088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513781240"/>
        <c:crosses val="autoZero"/>
        <c:auto val="1"/>
        <c:lblAlgn val="ctr"/>
        <c:lblOffset val="100"/>
        <c:noMultiLvlLbl val="0"/>
      </c:catAx>
      <c:valAx>
        <c:axId val="51378124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6E6E6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513780888"/>
        <c:crosses val="max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non-UK markets (GBP)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10 non-UK markets (GBP)</c:v>
          </c:tx>
          <c:spPr>
            <a:solidFill>
              <a:srgbClr val="087E8B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'Country Performance'!$A$7:$A$16</c:f>
              <c:strCache>
                <c:ptCount val="10"/>
                <c:pt idx="0">
                  <c:v>Netherlands</c:v>
                </c:pt>
                <c:pt idx="1">
                  <c:v>EIRE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Spain</c:v>
                </c:pt>
                <c:pt idx="6">
                  <c:v>Switzerland</c:v>
                </c:pt>
                <c:pt idx="7">
                  <c:v>Japan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'Country Performance'!$B$7:$B$16</c:f>
              <c:numCache>
                <c:formatCode>"£"#,##0.00;[Red]\("£"#,##0.00\)</c:formatCode>
                <c:ptCount val="10"/>
                <c:pt idx="0">
                  <c:v>283889.34000000003</c:v>
                </c:pt>
                <c:pt idx="1">
                  <c:v>270850.86</c:v>
                </c:pt>
                <c:pt idx="2">
                  <c:v>205381.15</c:v>
                </c:pt>
                <c:pt idx="3">
                  <c:v>184493</c:v>
                </c:pt>
                <c:pt idx="4">
                  <c:v>138103.81</c:v>
                </c:pt>
                <c:pt idx="5">
                  <c:v>55706.559999999998</c:v>
                </c:pt>
                <c:pt idx="6">
                  <c:v>53065.599999999999</c:v>
                </c:pt>
                <c:pt idx="7">
                  <c:v>37416.370000000003</c:v>
                </c:pt>
                <c:pt idx="8">
                  <c:v>36927.339999999997</c:v>
                </c:pt>
                <c:pt idx="9">
                  <c:v>36828.83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11-4074-9C3D-C02CB1725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344888"/>
        <c:axId val="518342776"/>
      </c:barChart>
      <c:catAx>
        <c:axId val="51834488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518342776"/>
        <c:crosses val="autoZero"/>
        <c:auto val="1"/>
        <c:lblAlgn val="ctr"/>
        <c:lblOffset val="100"/>
        <c:noMultiLvlLbl val="0"/>
      </c:catAx>
      <c:valAx>
        <c:axId val="518342776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6E6E6"/>
              </a:solidFill>
            </a:ln>
          </c:spPr>
        </c:majorGridlines>
        <c:numFmt formatCode="\£#,##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518344888"/>
        <c:crosses val="max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0</xdr:colOff>
      <xdr:row>35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4C362-A6FD-BB21-44B2-9DD039D79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12</xdr:col>
      <xdr:colOff>0</xdr:colOff>
      <xdr:row>13</xdr:row>
      <xdr:rowOff>355600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5F18B-3CE8-FD9B-9B8E-F9406CF6A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31</xdr:row>
      <xdr:rowOff>355600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2CC264-A02C-A0BC-A6BE-B5D4FCCB8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0</xdr:rowOff>
    </xdr:from>
    <xdr:to>
      <xdr:col>7</xdr:col>
      <xdr:colOff>0</xdr:colOff>
      <xdr:row>63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80857-F9DF-1105-787B-541B44BEA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2.945307754628" createdVersion="8" refreshedVersion="8" minRefreshableVersion="3" recordCount="13" xr:uid="{6A9D48A6-B132-40AC-BC16-CC88C8D0C827}">
  <cacheSource type="worksheet">
    <worksheetSource ref="A5:C18" sheet="Monthly Sales"/>
  </cacheSource>
  <cacheFields count="3">
    <cacheField name="Month" numFmtId="167">
      <sharedItems containsSemiMixedTypes="0" containsNonDate="0" containsDate="1" containsString="0" minDate="2010-12-01T00:00:00" maxDate="2011-12-02T00:00:00" count="13"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</cacheField>
    <cacheField name="Revenue GBP" numFmtId="164">
      <sharedItems containsSemiMixedTypes="0" containsString="0" containsNumber="1" minValue="507799.87" maxValue="1452115.98"/>
    </cacheField>
    <cacheField name="Completed orders" numFmtId="3">
      <sharedItems containsSemiMixedTypes="0" containsString="0" containsNumber="1" containsInteger="1" minValue="816" maxValue="27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2.945312384261" createdVersion="8" refreshedVersion="8" minRefreshableVersion="3" recordCount="38" xr:uid="{2C8E3C26-0806-4C7D-A672-165ECD86EDE5}">
  <cacheSource type="worksheet">
    <worksheetSource ref="A5:C43" sheet="Country Performance"/>
  </cacheSource>
  <cacheFields count="3">
    <cacheField name="Country" numFmtId="0">
      <sharedItems count="38">
        <s v="United Kingdom"/>
        <s v="Netherlands"/>
        <s v="EIRE"/>
        <s v="Germany"/>
        <s v="France"/>
        <s v="Australia"/>
        <s v="Spain"/>
        <s v="Switzerland"/>
        <s v="Japan"/>
        <s v="Belgium"/>
        <s v="Sweden"/>
        <s v="Norway"/>
        <s v="Portugal"/>
        <s v="Channel Islands"/>
        <s v="Finland"/>
        <s v="Denmark"/>
        <s v="Italy"/>
        <s v="Cyprus"/>
        <s v="Hong Kong"/>
        <s v="Singapore"/>
        <s v="Austria"/>
        <s v="Israel"/>
        <s v="Poland"/>
        <s v="Unspecified"/>
        <s v="Greece"/>
        <s v="Iceland"/>
        <s v="USA"/>
        <s v="Canada"/>
        <s v="Malta"/>
        <s v="United Arab Emirates"/>
        <s v="Lebanon"/>
        <s v="Lithuania"/>
        <s v="European Community"/>
        <s v="Brazil"/>
        <s v="RSA"/>
        <s v="Czech Republic"/>
        <s v="Bahrain"/>
        <s v="Saudi Arabia"/>
      </sharedItems>
    </cacheField>
    <cacheField name="Revenue GBP" numFmtId="164">
      <sharedItems containsSemiMixedTypes="0" containsString="0" containsNumber="1" minValue="145.91999999999999" maxValue="8724443.6699999999"/>
    </cacheField>
    <cacheField name="Completed orders" numFmtId="3">
      <sharedItems containsSemiMixedTypes="0" containsString="0" containsNumber="1" containsInteger="1" minValue="1" maxValue="179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775638.36"/>
    <n v="1550"/>
  </r>
  <r>
    <x v="1"/>
    <n v="670380.24"/>
    <n v="1081"/>
  </r>
  <r>
    <x v="2"/>
    <n v="507799.87"/>
    <n v="1093"/>
  </r>
  <r>
    <x v="3"/>
    <n v="689833.51"/>
    <n v="1440"/>
  </r>
  <r>
    <x v="4"/>
    <n v="515377.99"/>
    <n v="1235"/>
  </r>
  <r>
    <x v="5"/>
    <n v="739953"/>
    <n v="1668"/>
  </r>
  <r>
    <x v="6"/>
    <n v="737558.98"/>
    <n v="1525"/>
  </r>
  <r>
    <x v="7"/>
    <n v="688219.34"/>
    <n v="1452"/>
  </r>
  <r>
    <x v="8"/>
    <n v="724216.5"/>
    <n v="1339"/>
  </r>
  <r>
    <x v="9"/>
    <n v="1028320.38"/>
    <n v="1818"/>
  </r>
  <r>
    <x v="10"/>
    <n v="1103314.25"/>
    <n v="2005"/>
  </r>
  <r>
    <x v="11"/>
    <n v="1452115.98"/>
    <n v="2751"/>
  </r>
  <r>
    <x v="12"/>
    <n v="614490.92000000004"/>
    <n v="8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n v="8724443.6699999999"/>
    <n v="17901"/>
  </r>
  <r>
    <x v="1"/>
    <n v="283889.34000000003"/>
    <n v="93"/>
  </r>
  <r>
    <x v="2"/>
    <n v="270850.86"/>
    <n v="282"/>
  </r>
  <r>
    <x v="3"/>
    <n v="205381.15"/>
    <n v="443"/>
  </r>
  <r>
    <x v="4"/>
    <n v="184493"/>
    <n v="382"/>
  </r>
  <r>
    <x v="5"/>
    <n v="138103.81"/>
    <n v="56"/>
  </r>
  <r>
    <x v="6"/>
    <n v="55706.559999999998"/>
    <n v="88"/>
  </r>
  <r>
    <x v="7"/>
    <n v="53065.599999999999"/>
    <n v="50"/>
  </r>
  <r>
    <x v="8"/>
    <n v="37416.370000000003"/>
    <n v="19"/>
  </r>
  <r>
    <x v="9"/>
    <n v="36927.339999999997"/>
    <n v="98"/>
  </r>
  <r>
    <x v="10"/>
    <n v="36828.83"/>
    <n v="34"/>
  </r>
  <r>
    <x v="11"/>
    <n v="32454.639999999999"/>
    <n v="32"/>
  </r>
  <r>
    <x v="12"/>
    <n v="26951.11"/>
    <n v="50"/>
  </r>
  <r>
    <x v="13"/>
    <n v="19997.54"/>
    <n v="25"/>
  </r>
  <r>
    <x v="14"/>
    <n v="18344.88"/>
    <n v="40"/>
  </r>
  <r>
    <x v="15"/>
    <n v="18211.34"/>
    <n v="18"/>
  </r>
  <r>
    <x v="16"/>
    <n v="15820.24"/>
    <n v="35"/>
  </r>
  <r>
    <x v="17"/>
    <n v="13167.16"/>
    <n v="14"/>
  </r>
  <r>
    <x v="18"/>
    <n v="9744.19"/>
    <n v="7"/>
  </r>
  <r>
    <x v="19"/>
    <n v="9120.39"/>
    <n v="4"/>
  </r>
  <r>
    <x v="20"/>
    <n v="8742.68"/>
    <n v="17"/>
  </r>
  <r>
    <x v="21"/>
    <n v="8129.41"/>
    <n v="8"/>
  </r>
  <r>
    <x v="22"/>
    <n v="6974.65"/>
    <n v="19"/>
  </r>
  <r>
    <x v="23"/>
    <n v="4740.9399999999996"/>
    <n v="13"/>
  </r>
  <r>
    <x v="24"/>
    <n v="4425.5200000000004"/>
    <n v="5"/>
  </r>
  <r>
    <x v="25"/>
    <n v="4310"/>
    <n v="7"/>
  </r>
  <r>
    <x v="26"/>
    <n v="3580.39"/>
    <n v="5"/>
  </r>
  <r>
    <x v="27"/>
    <n v="3115.44"/>
    <n v="5"/>
  </r>
  <r>
    <x v="28"/>
    <n v="2070.59"/>
    <n v="5"/>
  </r>
  <r>
    <x v="29"/>
    <n v="1864.78"/>
    <n v="2"/>
  </r>
  <r>
    <x v="30"/>
    <n v="1693.88"/>
    <n v="1"/>
  </r>
  <r>
    <x v="31"/>
    <n v="1661.06"/>
    <n v="4"/>
  </r>
  <r>
    <x v="32"/>
    <n v="1159.25"/>
    <n v="3"/>
  </r>
  <r>
    <x v="33"/>
    <n v="1143.5999999999999"/>
    <n v="1"/>
  </r>
  <r>
    <x v="34"/>
    <n v="1002.31"/>
    <n v="1"/>
  </r>
  <r>
    <x v="35"/>
    <n v="786.74"/>
    <n v="2"/>
  </r>
  <r>
    <x v="36"/>
    <n v="754.14"/>
    <n v="3"/>
  </r>
  <r>
    <x v="37"/>
    <n v="145.9199999999999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CF6FB-3073-41DE-8976-2D56E2E78EC2}" name="Monthly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5:K19" firstHeaderRow="0" firstDataRow="1" firstDataCol="1"/>
  <pivotFields count="3">
    <pivotField axis="axisRow" compact="0" numFmtId="167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numFmtId="164" outline="0" showAll="0"/>
    <pivotField dataField="1" compact="0" numFmtId="3" outline="0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GBP (sum)" fld="1" baseField="0" baseItem="0" numFmtId="168"/>
    <dataField name="Completed orders (sum)" fld="2" baseField="0" baseItem="0" numFmtId="3"/>
  </dataFields>
  <formats count="8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outline="0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">
      <pivotArea field="0" type="button" dataOnly="0" labelOnly="1" outline="0" axis="axisRow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BE1C7-B60D-4FD0-B0B5-E36BF9064920}" name="CountrySales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5:K44" firstHeaderRow="0" firstDataRow="1" firstDataCol="1"/>
  <pivotFields count="3">
    <pivotField axis="axisRow" compact="0" outline="0" showAll="0" sortType="descending">
      <items count="39">
        <item x="5"/>
        <item x="20"/>
        <item x="36"/>
        <item x="9"/>
        <item x="33"/>
        <item x="27"/>
        <item x="13"/>
        <item x="17"/>
        <item x="35"/>
        <item x="15"/>
        <item x="2"/>
        <item x="32"/>
        <item x="14"/>
        <item x="4"/>
        <item x="3"/>
        <item x="24"/>
        <item x="18"/>
        <item x="25"/>
        <item x="21"/>
        <item x="16"/>
        <item x="8"/>
        <item x="30"/>
        <item x="31"/>
        <item x="28"/>
        <item x="1"/>
        <item x="11"/>
        <item x="22"/>
        <item x="12"/>
        <item x="34"/>
        <item x="37"/>
        <item x="19"/>
        <item x="6"/>
        <item x="10"/>
        <item x="7"/>
        <item x="29"/>
        <item x="0"/>
        <item x="23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dataField="1" compact="0" numFmtId="3" outline="0" showAll="0"/>
  </pivotFields>
  <rowFields count="1">
    <field x="0"/>
  </rowFields>
  <rowItems count="39">
    <i>
      <x v="35"/>
    </i>
    <i>
      <x v="24"/>
    </i>
    <i>
      <x v="10"/>
    </i>
    <i>
      <x v="14"/>
    </i>
    <i>
      <x v="13"/>
    </i>
    <i>
      <x/>
    </i>
    <i>
      <x v="31"/>
    </i>
    <i>
      <x v="33"/>
    </i>
    <i>
      <x v="20"/>
    </i>
    <i>
      <x v="3"/>
    </i>
    <i>
      <x v="32"/>
    </i>
    <i>
      <x v="25"/>
    </i>
    <i>
      <x v="27"/>
    </i>
    <i>
      <x v="6"/>
    </i>
    <i>
      <x v="12"/>
    </i>
    <i>
      <x v="9"/>
    </i>
    <i>
      <x v="19"/>
    </i>
    <i>
      <x v="7"/>
    </i>
    <i>
      <x v="16"/>
    </i>
    <i>
      <x v="30"/>
    </i>
    <i>
      <x v="1"/>
    </i>
    <i>
      <x v="18"/>
    </i>
    <i>
      <x v="26"/>
    </i>
    <i>
      <x v="36"/>
    </i>
    <i>
      <x v="15"/>
    </i>
    <i>
      <x v="17"/>
    </i>
    <i>
      <x v="37"/>
    </i>
    <i>
      <x v="5"/>
    </i>
    <i>
      <x v="23"/>
    </i>
    <i>
      <x v="34"/>
    </i>
    <i>
      <x v="21"/>
    </i>
    <i>
      <x v="22"/>
    </i>
    <i>
      <x v="11"/>
    </i>
    <i>
      <x v="4"/>
    </i>
    <i>
      <x v="28"/>
    </i>
    <i>
      <x v="8"/>
    </i>
    <i>
      <x v="2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GBP (sum)" fld="1" baseField="0" baseItem="0" numFmtId="168"/>
    <dataField name="Completed orders (sum)" fld="2" baseField="0" baseItem="0" numFmtId="3"/>
  </dataFields>
  <formats count="8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0" type="button" dataOnly="0" labelOnly="1" outline="0" axis="axisRow" fieldPosition="0"/>
    </format>
    <format dxfId="40">
      <pivotArea dataOnly="0" labelOnly="1" outline="0" fieldPosition="0">
        <references count="1">
          <reference field="0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field="0" type="button" dataOnly="0" labelOnly="1" outline="0" axis="axisRow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KPIs" displayName="OverviewKPIs" ref="A6:D13" headerRowDxfId="88" dataDxfId="86" totalsRowDxfId="87">
  <autoFilter ref="A6:D13" xr:uid="{00000000-0009-0000-0100-000001000000}"/>
  <tableColumns count="4">
    <tableColumn id="1" xr3:uid="{00000000-0010-0000-0000-000001000000}" name="Metric" dataDxfId="92"/>
    <tableColumn id="2" xr3:uid="{00000000-0010-0000-0000-000002000000}" name="Workbook value" dataDxfId="91"/>
    <tableColumn id="3" xr3:uid="{00000000-0010-0000-0000-000003000000}" name="Python reference" dataDxfId="90"/>
    <tableColumn id="4" xr3:uid="{00000000-0010-0000-0000-000004000000}" name="Reconciliation" dataDxfId="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Summary" displayName="MonthlySummary" ref="A5:G18" headerRowDxfId="78" dataDxfId="76" totalsRowDxfId="77">
  <autoFilter ref="A5:G18" xr:uid="{00000000-0009-0000-0100-000002000000}"/>
  <tableColumns count="7">
    <tableColumn id="1" xr3:uid="{00000000-0010-0000-0100-000001000000}" name="Month" dataDxfId="85"/>
    <tableColumn id="2" xr3:uid="{00000000-0010-0000-0100-000002000000}" name="Revenue GBP" dataDxfId="84"/>
    <tableColumn id="3" xr3:uid="{00000000-0010-0000-0100-000003000000}" name="Completed orders" dataDxfId="83"/>
    <tableColumn id="4" xr3:uid="{00000000-0010-0000-0100-000004000000}" name="AOV GBP" dataDxfId="82"/>
    <tableColumn id="5" xr3:uid="{00000000-0010-0000-0100-000005000000}" name="Observed MoM %" dataDxfId="81"/>
    <tableColumn id="6" xr3:uid="{00000000-0010-0000-0100-000006000000}" name="Comparable MoM %" dataDxfId="80"/>
    <tableColumn id="7" xr3:uid="{00000000-0010-0000-0100-000007000000}" name="Coverage note" dataDxfId="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sByRevenue" displayName="ProductsByRevenue" ref="A5:E15" headerRowDxfId="62" dataDxfId="60" totalsRowDxfId="61">
  <autoFilter ref="A5:E15" xr:uid="{00000000-0009-0000-0100-000003000000}"/>
  <tableColumns count="5">
    <tableColumn id="1" xr3:uid="{00000000-0010-0000-0200-000001000000}" name="Rank" dataDxfId="67"/>
    <tableColumn id="2" xr3:uid="{00000000-0010-0000-0200-000002000000}" name="StockCode" dataDxfId="66"/>
    <tableColumn id="3" xr3:uid="{00000000-0010-0000-0200-000003000000}" name="Description" dataDxfId="65"/>
    <tableColumn id="4" xr3:uid="{00000000-0010-0000-0200-000004000000}" name="Units sold" dataDxfId="64"/>
    <tableColumn id="5" xr3:uid="{00000000-0010-0000-0200-000005000000}" name="Revenue GBP" dataDxfId="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sByQuantity" displayName="ProductsByQuantity" ref="A23:E33" headerRowDxfId="54" dataDxfId="52" totalsRowDxfId="53">
  <autoFilter ref="A23:E33" xr:uid="{00000000-0009-0000-0100-000004000000}"/>
  <tableColumns count="5">
    <tableColumn id="1" xr3:uid="{00000000-0010-0000-0300-000001000000}" name="Rank" dataDxfId="59"/>
    <tableColumn id="2" xr3:uid="{00000000-0010-0000-0300-000002000000}" name="StockCode" dataDxfId="58"/>
    <tableColumn id="3" xr3:uid="{00000000-0010-0000-0300-000003000000}" name="Description" dataDxfId="57"/>
    <tableColumn id="4" xr3:uid="{00000000-0010-0000-0300-000004000000}" name="Units sold" dataDxfId="56"/>
    <tableColumn id="5" xr3:uid="{00000000-0010-0000-0300-000005000000}" name="Revenue GBP" dataDxfId="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untrySummary" displayName="CountrySummary" ref="A5:E43" headerRowDxfId="46" dataDxfId="44" totalsRowDxfId="45">
  <autoFilter ref="A5:E43" xr:uid="{00000000-0009-0000-0100-000005000000}"/>
  <tableColumns count="5">
    <tableColumn id="1" xr3:uid="{00000000-0010-0000-0400-000001000000}" name="Country" dataDxfId="51"/>
    <tableColumn id="2" xr3:uid="{00000000-0010-0000-0400-000002000000}" name="Revenue GBP" dataDxfId="50"/>
    <tableColumn id="3" xr3:uid="{00000000-0010-0000-0400-000003000000}" name="Completed orders" dataDxfId="49"/>
    <tableColumn id="4" xr3:uid="{00000000-0010-0000-0400-000004000000}" name="AOV GBP" dataDxfId="48"/>
    <tableColumn id="5" xr3:uid="{00000000-0010-0000-0400-000005000000}" name="Revenue share" dataDxfId="4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stomerMetrics" displayName="CustomerMetrics" ref="A5:C13" headerRowDxfId="32" dataDxfId="30" totalsRowDxfId="31">
  <autoFilter ref="A5:C13" xr:uid="{00000000-0009-0000-0100-000006000000}"/>
  <tableColumns count="3">
    <tableColumn id="1" xr3:uid="{00000000-0010-0000-0500-000001000000}" name="Customer metric" dataDxfId="35"/>
    <tableColumn id="2" xr3:uid="{00000000-0010-0000-0500-000002000000}" name="Value" dataDxfId="34"/>
    <tableColumn id="3" xr3:uid="{00000000-0010-0000-0500-000003000000}" name="Definition" dataDxf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ustomerFrequency" displayName="CustomerFrequency" ref="A18:E23" headerRowDxfId="24" dataDxfId="22" totalsRowDxfId="23">
  <autoFilter ref="A18:E23" xr:uid="{00000000-0009-0000-0100-000007000000}"/>
  <tableColumns count="5">
    <tableColumn id="1" xr3:uid="{00000000-0010-0000-0600-000001000000}" name="Completed-order band" dataDxfId="29"/>
    <tableColumn id="2" xr3:uid="{00000000-0010-0000-0600-000002000000}" name="Known customers" dataDxfId="28"/>
    <tableColumn id="3" xr3:uid="{00000000-0010-0000-0600-000003000000}" name="Share of known IDs" dataDxfId="27"/>
    <tableColumn id="4" xr3:uid="{00000000-0010-0000-0600-000004000000}" name="Revenue GBP" dataDxfId="26"/>
    <tableColumn id="5" xr3:uid="{00000000-0010-0000-0600-000005000000}" name="Completed orders" dataDxfId="2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leaningExclusions" displayName="CleaningExclusions" ref="A5:F11" headerRowDxfId="15" dataDxfId="13" totalsRowDxfId="14">
  <autoFilter ref="A5:F11" xr:uid="{00000000-0009-0000-0100-000008000000}"/>
  <tableColumns count="6">
    <tableColumn id="1" xr3:uid="{00000000-0010-0000-0700-000001000000}" name="First applicable exclusion rule" dataDxfId="21"/>
    <tableColumn id="2" xr3:uid="{00000000-0010-0000-0700-000002000000}" name="Before rows" dataDxfId="20"/>
    <tableColumn id="3" xr3:uid="{00000000-0010-0000-0700-000003000000}" name="Excluded rows" dataDxfId="19"/>
    <tableColumn id="4" xr3:uid="{00000000-0010-0000-0700-000004000000}" name="After rows" dataDxfId="18"/>
    <tableColumn id="5" xr3:uid="{00000000-0010-0000-0700-000005000000}" name="Signed value GBP" dataDxfId="17"/>
    <tableColumn id="6" xr3:uid="{00000000-0010-0000-0700-000006000000}" name="Absolute value GBP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alityFlags" displayName="QualityFlags" ref="A16:D24" headerRowDxfId="8" dataDxfId="6" totalsRowDxfId="7">
  <autoFilter ref="A16:D24" xr:uid="{00000000-0009-0000-0100-000009000000}"/>
  <tableColumns count="4">
    <tableColumn id="1" xr3:uid="{00000000-0010-0000-0800-000001000000}" name="Overlapping issue / retained group" dataDxfId="12"/>
    <tableColumn id="2" xr3:uid="{00000000-0010-0000-0800-000002000000}" name="Lines" dataDxfId="11"/>
    <tableColumn id="3" xr3:uid="{00000000-0010-0000-0800-000003000000}" name="Share of denominator" dataDxfId="10"/>
    <tableColumn id="4" xr3:uid="{00000000-0010-0000-0800-000004000000}" name="Denominator / interpretation" dataDxfId="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erifiedReferences" displayName="VerifiedReferences" ref="A19:C30" headerRowDxfId="2" dataDxfId="0" totalsRowDxfId="1">
  <autoFilter ref="A19:C30" xr:uid="{00000000-0009-0000-0100-00000A000000}"/>
  <tableColumns count="3">
    <tableColumn id="1" xr3:uid="{00000000-0010-0000-0900-000001000000}" name="Verified reference metric" dataDxfId="5"/>
    <tableColumn id="2" xr3:uid="{00000000-0010-0000-0900-000002000000}" name="Python value" dataDxfId="4"/>
    <tableColumn id="3" xr3:uid="{00000000-0010-0000-0900-000003000000}" name="Unit / rol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7E8B"/>
    <outlinePr summaryRight="0"/>
    <pageSetUpPr fitToPage="1"/>
  </sheetPr>
  <dimension ref="A1:G81"/>
  <sheetViews>
    <sheetView showGridLines="0" tabSelected="1" zoomScale="85" zoomScaleNormal="85" workbookViewId="0">
      <pane xSplit="1" ySplit="6" topLeftCell="B7" activePane="bottomRight" state="frozen"/>
      <selection pane="topRight"/>
      <selection pane="bottomLeft"/>
      <selection pane="bottomRight" sqref="A1:G2"/>
    </sheetView>
  </sheetViews>
  <sheetFormatPr defaultRowHeight="14.5" x14ac:dyDescent="0.35"/>
  <cols>
    <col min="1" max="1" width="32" customWidth="1"/>
    <col min="2" max="2" width="21" customWidth="1"/>
    <col min="3" max="3" width="18" customWidth="1"/>
    <col min="4" max="4" width="22" customWidth="1"/>
    <col min="5" max="5" width="20" customWidth="1"/>
    <col min="6" max="6" width="19" customWidth="1"/>
    <col min="7" max="7" width="29" customWidth="1"/>
    <col min="8" max="8" width="3" customWidth="1"/>
    <col min="9" max="9" width="19" customWidth="1"/>
    <col min="10" max="10" width="21" customWidth="1"/>
    <col min="11" max="11" width="18" customWidth="1"/>
    <col min="12" max="12" width="16" customWidth="1"/>
  </cols>
  <sheetData>
    <row r="1" spans="1:7" ht="28" customHeight="1" x14ac:dyDescent="0.35">
      <c r="A1" s="1" t="s">
        <v>0</v>
      </c>
      <c r="B1" s="2"/>
      <c r="C1" s="2"/>
      <c r="D1" s="2"/>
      <c r="E1" s="2"/>
      <c r="F1" s="2"/>
      <c r="G1" s="2"/>
    </row>
    <row r="2" spans="1:7" ht="14" customHeight="1" x14ac:dyDescent="0.35">
      <c r="A2" s="2"/>
      <c r="B2" s="2"/>
      <c r="C2" s="2"/>
      <c r="D2" s="2"/>
      <c r="E2" s="2"/>
      <c r="F2" s="2"/>
      <c r="G2" s="2"/>
    </row>
    <row r="3" spans="1:7" ht="36" customHeight="1" x14ac:dyDescent="0.35">
      <c r="A3" s="3" t="s">
        <v>1</v>
      </c>
      <c r="B3" s="2"/>
      <c r="C3" s="2"/>
      <c r="D3" s="2"/>
      <c r="E3" s="2"/>
      <c r="F3" s="2"/>
      <c r="G3" s="2"/>
    </row>
    <row r="4" spans="1:7" ht="20" customHeight="1" x14ac:dyDescent="0.35">
      <c r="A4" s="4"/>
      <c r="B4" s="4"/>
      <c r="C4" s="4"/>
      <c r="D4" s="4"/>
      <c r="E4" s="4"/>
      <c r="F4" s="4"/>
      <c r="G4" s="4"/>
    </row>
    <row r="5" spans="1:7" ht="20" customHeight="1" x14ac:dyDescent="0.35">
      <c r="A5" s="4"/>
      <c r="B5" s="4"/>
      <c r="C5" s="4"/>
      <c r="D5" s="4"/>
      <c r="E5" s="4"/>
      <c r="F5" s="4"/>
      <c r="G5" s="4"/>
    </row>
    <row r="6" spans="1:7" ht="32" customHeight="1" x14ac:dyDescent="0.35">
      <c r="A6" s="5" t="s">
        <v>2</v>
      </c>
      <c r="B6" s="5" t="s">
        <v>3</v>
      </c>
      <c r="C6" s="5" t="s">
        <v>4</v>
      </c>
      <c r="D6" s="5" t="s">
        <v>5</v>
      </c>
      <c r="E6" s="4"/>
      <c r="F6" s="4"/>
      <c r="G6" s="4"/>
    </row>
    <row r="7" spans="1:7" ht="28" customHeight="1" x14ac:dyDescent="0.35">
      <c r="A7" s="6" t="s">
        <v>6</v>
      </c>
      <c r="B7" s="7">
        <f>ROUND(SUM('Monthly Sales'!B6:B18),2)</f>
        <v>10247219.32</v>
      </c>
      <c r="C7" s="8">
        <v>10247219.32</v>
      </c>
      <c r="D7" s="9" t="str">
        <f t="shared" ref="D7:D12" si="0">IF(ROUND(B7-C7,2)=0,"PASS","CHECK")</f>
        <v>PASS</v>
      </c>
      <c r="E7" s="4"/>
      <c r="F7" s="4"/>
      <c r="G7" s="4"/>
    </row>
    <row r="8" spans="1:7" ht="28" customHeight="1" x14ac:dyDescent="0.35">
      <c r="A8" s="6" t="s">
        <v>7</v>
      </c>
      <c r="B8" s="10">
        <f>SUM('Monthly Sales'!C6:C18)</f>
        <v>19773</v>
      </c>
      <c r="C8" s="11">
        <v>19773</v>
      </c>
      <c r="D8" s="9" t="str">
        <f t="shared" si="0"/>
        <v>PASS</v>
      </c>
      <c r="E8" s="4"/>
      <c r="F8" s="4"/>
      <c r="G8" s="4"/>
    </row>
    <row r="9" spans="1:7" ht="28" customHeight="1" x14ac:dyDescent="0.35">
      <c r="A9" s="6" t="s">
        <v>8</v>
      </c>
      <c r="B9" s="10">
        <f>Sources!$B$22</f>
        <v>5561387</v>
      </c>
      <c r="C9" s="11">
        <v>5561387</v>
      </c>
      <c r="D9" s="9" t="str">
        <f t="shared" si="0"/>
        <v>PASS</v>
      </c>
      <c r="E9" s="4"/>
      <c r="F9" s="4"/>
      <c r="G9" s="4"/>
    </row>
    <row r="10" spans="1:7" ht="28" customHeight="1" x14ac:dyDescent="0.35">
      <c r="A10" s="6" t="s">
        <v>9</v>
      </c>
      <c r="B10" s="7">
        <f>ROUND(B7/B8,2)</f>
        <v>518.24</v>
      </c>
      <c r="C10" s="8">
        <v>518.24</v>
      </c>
      <c r="D10" s="9" t="str">
        <f t="shared" si="0"/>
        <v>PASS</v>
      </c>
      <c r="E10" s="4"/>
      <c r="F10" s="4"/>
      <c r="G10" s="4"/>
    </row>
    <row r="11" spans="1:7" ht="28" customHeight="1" x14ac:dyDescent="0.35">
      <c r="A11" s="6" t="s">
        <v>10</v>
      </c>
      <c r="B11" s="10">
        <f>'Customer Analysis'!B7</f>
        <v>4334</v>
      </c>
      <c r="C11" s="11">
        <v>4334</v>
      </c>
      <c r="D11" s="9" t="str">
        <f t="shared" si="0"/>
        <v>PASS</v>
      </c>
      <c r="E11" s="4"/>
      <c r="F11" s="4"/>
      <c r="G11" s="4"/>
    </row>
    <row r="12" spans="1:7" ht="28" customHeight="1" x14ac:dyDescent="0.35">
      <c r="A12" s="6" t="s">
        <v>11</v>
      </c>
      <c r="B12" s="10">
        <f>'Customer Analysis'!B8</f>
        <v>2829</v>
      </c>
      <c r="C12" s="11">
        <v>2829</v>
      </c>
      <c r="D12" s="9" t="str">
        <f t="shared" si="0"/>
        <v>PASS</v>
      </c>
      <c r="E12" s="4"/>
      <c r="F12" s="4"/>
      <c r="G12" s="4"/>
    </row>
    <row r="13" spans="1:7" ht="28" customHeight="1" x14ac:dyDescent="0.35">
      <c r="A13" s="6" t="s">
        <v>12</v>
      </c>
      <c r="B13" s="12">
        <f>'Customer Analysis'!B10</f>
        <v>0.65274573142593451</v>
      </c>
      <c r="C13" s="13">
        <v>0.65269999999999995</v>
      </c>
      <c r="D13" s="9" t="str">
        <f>IF(ROUND(B13*100,2)=ROUND(C13*100,2),"PASS","CHECK")</f>
        <v>PASS</v>
      </c>
      <c r="E13" s="4"/>
      <c r="F13" s="4"/>
      <c r="G13" s="4"/>
    </row>
    <row r="14" spans="1:7" ht="20" customHeight="1" x14ac:dyDescent="0.35">
      <c r="A14" s="4"/>
      <c r="B14" s="4"/>
      <c r="C14" s="4"/>
      <c r="D14" s="4"/>
      <c r="E14" s="4"/>
      <c r="F14" s="4"/>
      <c r="G14" s="4"/>
    </row>
    <row r="15" spans="1:7" ht="20" customHeight="1" x14ac:dyDescent="0.35">
      <c r="A15" s="4"/>
      <c r="B15" s="4"/>
      <c r="C15" s="4"/>
      <c r="D15" s="4"/>
      <c r="E15" s="4"/>
      <c r="F15" s="4"/>
      <c r="G15" s="4"/>
    </row>
    <row r="16" spans="1:7" ht="25" customHeight="1" x14ac:dyDescent="0.35">
      <c r="A16" s="14" t="s">
        <v>13</v>
      </c>
      <c r="B16" s="2"/>
      <c r="C16" s="2"/>
      <c r="D16" s="2"/>
      <c r="E16" s="2"/>
      <c r="F16" s="2"/>
      <c r="G16" s="2"/>
    </row>
    <row r="17" spans="1:7" ht="32" customHeight="1" x14ac:dyDescent="0.35">
      <c r="A17" s="15" t="s">
        <v>14</v>
      </c>
      <c r="B17" s="2"/>
      <c r="C17" s="2"/>
      <c r="D17" s="2"/>
      <c r="E17" s="2"/>
      <c r="F17" s="2"/>
      <c r="G17" s="2"/>
    </row>
    <row r="18" spans="1:7" ht="32" customHeight="1" x14ac:dyDescent="0.35">
      <c r="A18" s="15" t="s">
        <v>15</v>
      </c>
      <c r="B18" s="2"/>
      <c r="C18" s="2"/>
      <c r="D18" s="2"/>
      <c r="E18" s="2"/>
      <c r="F18" s="2"/>
      <c r="G18" s="2"/>
    </row>
    <row r="19" spans="1:7" ht="32" customHeight="1" x14ac:dyDescent="0.35">
      <c r="A19" s="15" t="s">
        <v>16</v>
      </c>
      <c r="B19" s="2"/>
      <c r="C19" s="2"/>
      <c r="D19" s="2"/>
      <c r="E19" s="2"/>
      <c r="F19" s="2"/>
      <c r="G19" s="2"/>
    </row>
    <row r="20" spans="1:7" ht="32" customHeight="1" x14ac:dyDescent="0.35">
      <c r="A20" s="15" t="s">
        <v>17</v>
      </c>
      <c r="B20" s="2"/>
      <c r="C20" s="2"/>
      <c r="D20" s="2"/>
      <c r="E20" s="2"/>
      <c r="F20" s="2"/>
      <c r="G20" s="2"/>
    </row>
    <row r="21" spans="1:7" ht="32" customHeight="1" x14ac:dyDescent="0.35">
      <c r="A21" s="15" t="s">
        <v>18</v>
      </c>
      <c r="B21" s="2"/>
      <c r="C21" s="2"/>
      <c r="D21" s="2"/>
      <c r="E21" s="2"/>
      <c r="F21" s="2"/>
      <c r="G21" s="2"/>
    </row>
    <row r="22" spans="1:7" ht="32" customHeight="1" x14ac:dyDescent="0.35">
      <c r="A22" s="15" t="s">
        <v>19</v>
      </c>
      <c r="B22" s="2"/>
      <c r="C22" s="2"/>
      <c r="D22" s="2"/>
      <c r="E22" s="2"/>
      <c r="F22" s="2"/>
      <c r="G22" s="2"/>
    </row>
    <row r="23" spans="1:7" ht="32" customHeight="1" x14ac:dyDescent="0.35">
      <c r="A23" s="15" t="s">
        <v>20</v>
      </c>
      <c r="B23" s="2"/>
      <c r="C23" s="2"/>
      <c r="D23" s="2"/>
      <c r="E23" s="2"/>
      <c r="F23" s="2"/>
      <c r="G23" s="2"/>
    </row>
    <row r="24" spans="1:7" ht="20" customHeight="1" x14ac:dyDescent="0.35">
      <c r="A24" s="4"/>
      <c r="B24" s="4"/>
      <c r="C24" s="4"/>
      <c r="D24" s="4"/>
      <c r="E24" s="4"/>
      <c r="F24" s="4"/>
      <c r="G24" s="4"/>
    </row>
    <row r="25" spans="1:7" ht="20" customHeight="1" x14ac:dyDescent="0.35">
      <c r="A25" s="4"/>
      <c r="B25" s="4"/>
      <c r="C25" s="4"/>
      <c r="D25" s="4"/>
      <c r="E25" s="4"/>
      <c r="F25" s="4"/>
      <c r="G25" s="4"/>
    </row>
    <row r="26" spans="1:7" ht="25" customHeight="1" x14ac:dyDescent="0.35">
      <c r="A26" s="14" t="s">
        <v>21</v>
      </c>
      <c r="B26" s="2"/>
      <c r="C26" s="2"/>
      <c r="D26" s="2"/>
      <c r="E26" s="2"/>
      <c r="F26" s="2"/>
      <c r="G26" s="2"/>
    </row>
    <row r="27" spans="1:7" ht="34" customHeight="1" x14ac:dyDescent="0.35">
      <c r="A27" s="15" t="s">
        <v>22</v>
      </c>
      <c r="B27" s="2"/>
      <c r="C27" s="2"/>
      <c r="D27" s="2"/>
      <c r="E27" s="2"/>
      <c r="F27" s="2"/>
      <c r="G27" s="2"/>
    </row>
    <row r="28" spans="1:7" ht="34" customHeight="1" x14ac:dyDescent="0.35">
      <c r="A28" s="15" t="s">
        <v>23</v>
      </c>
      <c r="B28" s="2"/>
      <c r="C28" s="2"/>
      <c r="D28" s="2"/>
      <c r="E28" s="2"/>
      <c r="F28" s="2"/>
      <c r="G28" s="2"/>
    </row>
    <row r="29" spans="1:7" ht="34" customHeight="1" x14ac:dyDescent="0.35">
      <c r="A29" s="15" t="s">
        <v>24</v>
      </c>
      <c r="B29" s="2"/>
      <c r="C29" s="2"/>
      <c r="D29" s="2"/>
      <c r="E29" s="2"/>
      <c r="F29" s="2"/>
      <c r="G29" s="2"/>
    </row>
    <row r="30" spans="1:7" ht="34" customHeight="1" x14ac:dyDescent="0.35">
      <c r="A30" s="15" t="s">
        <v>25</v>
      </c>
      <c r="B30" s="2"/>
      <c r="C30" s="2"/>
      <c r="D30" s="2"/>
      <c r="E30" s="2"/>
      <c r="F30" s="2"/>
      <c r="G30" s="2"/>
    </row>
    <row r="31" spans="1:7" ht="34" customHeight="1" x14ac:dyDescent="0.35">
      <c r="A31" s="15" t="s">
        <v>26</v>
      </c>
      <c r="B31" s="2"/>
      <c r="C31" s="2"/>
      <c r="D31" s="2"/>
      <c r="E31" s="2"/>
      <c r="F31" s="2"/>
      <c r="G31" s="2"/>
    </row>
    <row r="32" spans="1:7" ht="20" customHeight="1" x14ac:dyDescent="0.35">
      <c r="A32" s="4"/>
      <c r="B32" s="4"/>
      <c r="C32" s="4"/>
      <c r="D32" s="4"/>
      <c r="E32" s="4"/>
      <c r="F32" s="4"/>
      <c r="G32" s="4"/>
    </row>
    <row r="33" spans="1:7" ht="20" customHeight="1" x14ac:dyDescent="0.35">
      <c r="A33" s="4"/>
      <c r="B33" s="4"/>
      <c r="C33" s="4"/>
      <c r="D33" s="4"/>
      <c r="E33" s="4"/>
      <c r="F33" s="4"/>
      <c r="G33" s="4"/>
    </row>
    <row r="34" spans="1:7" ht="34" customHeight="1" x14ac:dyDescent="0.35">
      <c r="A34" s="16" t="s">
        <v>27</v>
      </c>
      <c r="B34" s="2"/>
      <c r="C34" s="2"/>
      <c r="D34" s="2"/>
      <c r="E34" s="2"/>
      <c r="F34" s="2"/>
      <c r="G34" s="2"/>
    </row>
    <row r="35" spans="1:7" ht="20" customHeight="1" x14ac:dyDescent="0.35">
      <c r="A35" s="4"/>
      <c r="B35" s="4"/>
      <c r="C35" s="4"/>
      <c r="D35" s="4"/>
      <c r="E35" s="4"/>
      <c r="F35" s="4"/>
      <c r="G35" s="4"/>
    </row>
    <row r="36" spans="1:7" ht="20" customHeight="1" x14ac:dyDescent="0.35">
      <c r="A36" s="4"/>
      <c r="B36" s="4"/>
      <c r="C36" s="4"/>
      <c r="D36" s="4"/>
      <c r="E36" s="4"/>
      <c r="F36" s="4"/>
      <c r="G36" s="4"/>
    </row>
    <row r="37" spans="1:7" ht="20" customHeight="1" x14ac:dyDescent="0.35">
      <c r="A37" s="4"/>
      <c r="B37" s="4"/>
      <c r="C37" s="4"/>
      <c r="D37" s="4"/>
      <c r="E37" s="4"/>
      <c r="F37" s="4"/>
      <c r="G37" s="4"/>
    </row>
    <row r="38" spans="1:7" ht="20" customHeight="1" x14ac:dyDescent="0.35">
      <c r="A38" s="4"/>
      <c r="B38" s="4"/>
      <c r="C38" s="4"/>
      <c r="D38" s="4"/>
      <c r="E38" s="4"/>
      <c r="F38" s="4"/>
      <c r="G38" s="4"/>
    </row>
    <row r="39" spans="1:7" ht="20" customHeight="1" x14ac:dyDescent="0.35">
      <c r="A39" s="4"/>
      <c r="B39" s="4"/>
      <c r="C39" s="4"/>
      <c r="D39" s="4"/>
      <c r="E39" s="4"/>
      <c r="F39" s="4"/>
      <c r="G39" s="4"/>
    </row>
    <row r="40" spans="1:7" ht="20" customHeight="1" x14ac:dyDescent="0.35">
      <c r="A40" s="4"/>
      <c r="B40" s="4"/>
      <c r="C40" s="4"/>
      <c r="D40" s="4"/>
      <c r="E40" s="4"/>
      <c r="F40" s="4"/>
      <c r="G40" s="4"/>
    </row>
    <row r="41" spans="1:7" ht="20" customHeight="1" x14ac:dyDescent="0.35">
      <c r="A41" s="4"/>
      <c r="B41" s="4"/>
      <c r="C41" s="4"/>
      <c r="D41" s="4"/>
      <c r="E41" s="4"/>
      <c r="F41" s="4"/>
      <c r="G41" s="4"/>
    </row>
    <row r="42" spans="1:7" ht="20" customHeight="1" x14ac:dyDescent="0.35">
      <c r="A42" s="4"/>
      <c r="B42" s="4"/>
      <c r="C42" s="4"/>
      <c r="D42" s="4"/>
      <c r="E42" s="4"/>
      <c r="F42" s="4"/>
      <c r="G42" s="4"/>
    </row>
    <row r="43" spans="1:7" ht="20" customHeight="1" x14ac:dyDescent="0.35">
      <c r="A43" s="4"/>
      <c r="B43" s="4"/>
      <c r="C43" s="4"/>
      <c r="D43" s="4"/>
      <c r="E43" s="4"/>
      <c r="F43" s="4"/>
      <c r="G43" s="4"/>
    </row>
    <row r="44" spans="1:7" ht="20" customHeight="1" x14ac:dyDescent="0.35">
      <c r="A44" s="4"/>
      <c r="B44" s="4"/>
      <c r="C44" s="4"/>
      <c r="D44" s="4"/>
      <c r="E44" s="4"/>
      <c r="F44" s="4"/>
      <c r="G44" s="4"/>
    </row>
    <row r="45" spans="1:7" ht="20" customHeight="1" x14ac:dyDescent="0.35">
      <c r="A45" s="4"/>
      <c r="B45" s="4"/>
      <c r="C45" s="4"/>
      <c r="D45" s="4"/>
      <c r="E45" s="4"/>
      <c r="F45" s="4"/>
      <c r="G45" s="4"/>
    </row>
    <row r="46" spans="1:7" ht="20" customHeight="1" x14ac:dyDescent="0.35">
      <c r="A46" s="4"/>
      <c r="B46" s="4"/>
      <c r="C46" s="4"/>
      <c r="D46" s="4"/>
      <c r="E46" s="4"/>
      <c r="F46" s="4"/>
      <c r="G46" s="4"/>
    </row>
    <row r="47" spans="1:7" ht="20" customHeight="1" x14ac:dyDescent="0.35">
      <c r="A47" s="4"/>
      <c r="B47" s="4"/>
      <c r="C47" s="4"/>
      <c r="D47" s="4"/>
      <c r="E47" s="4"/>
      <c r="F47" s="4"/>
      <c r="G47" s="4"/>
    </row>
    <row r="48" spans="1:7" ht="20" customHeight="1" x14ac:dyDescent="0.35">
      <c r="A48" s="4"/>
      <c r="B48" s="4"/>
      <c r="C48" s="4"/>
      <c r="D48" s="4"/>
      <c r="E48" s="4"/>
      <c r="F48" s="4"/>
      <c r="G48" s="4"/>
    </row>
    <row r="49" spans="1:7" ht="20" customHeight="1" x14ac:dyDescent="0.35">
      <c r="A49" s="4"/>
      <c r="B49" s="4"/>
      <c r="C49" s="4"/>
      <c r="D49" s="4"/>
      <c r="E49" s="4"/>
      <c r="F49" s="4"/>
      <c r="G49" s="4"/>
    </row>
    <row r="50" spans="1:7" ht="20" customHeight="1" x14ac:dyDescent="0.35">
      <c r="A50" s="4"/>
      <c r="B50" s="4"/>
      <c r="C50" s="4"/>
      <c r="D50" s="4"/>
      <c r="E50" s="4"/>
      <c r="F50" s="4"/>
      <c r="G50" s="4"/>
    </row>
    <row r="51" spans="1:7" ht="20" customHeight="1" x14ac:dyDescent="0.35">
      <c r="A51" s="4"/>
      <c r="B51" s="4"/>
      <c r="C51" s="4"/>
      <c r="D51" s="4"/>
      <c r="E51" s="4"/>
      <c r="F51" s="4"/>
      <c r="G51" s="4"/>
    </row>
    <row r="52" spans="1:7" ht="20" customHeight="1" x14ac:dyDescent="0.35">
      <c r="A52" s="4"/>
      <c r="B52" s="4"/>
      <c r="C52" s="4"/>
      <c r="D52" s="4"/>
      <c r="E52" s="4"/>
      <c r="F52" s="4"/>
      <c r="G52" s="4"/>
    </row>
    <row r="53" spans="1:7" ht="20" customHeight="1" x14ac:dyDescent="0.35">
      <c r="A53" s="4"/>
      <c r="B53" s="4"/>
      <c r="C53" s="4"/>
      <c r="D53" s="4"/>
      <c r="E53" s="4"/>
      <c r="F53" s="4"/>
      <c r="G53" s="4"/>
    </row>
    <row r="54" spans="1:7" ht="20" customHeight="1" x14ac:dyDescent="0.35">
      <c r="A54" s="4"/>
      <c r="B54" s="4"/>
      <c r="C54" s="4"/>
      <c r="D54" s="4"/>
      <c r="E54" s="4"/>
      <c r="F54" s="4"/>
      <c r="G54" s="4"/>
    </row>
    <row r="55" spans="1:7" ht="20" customHeight="1" x14ac:dyDescent="0.35">
      <c r="A55" s="4"/>
      <c r="B55" s="4"/>
      <c r="C55" s="4"/>
      <c r="D55" s="4"/>
      <c r="E55" s="4"/>
      <c r="F55" s="4"/>
      <c r="G55" s="4"/>
    </row>
    <row r="56" spans="1:7" ht="20" customHeight="1" x14ac:dyDescent="0.35">
      <c r="A56" s="4"/>
      <c r="B56" s="4"/>
      <c r="C56" s="4"/>
      <c r="D56" s="4"/>
      <c r="E56" s="4"/>
      <c r="F56" s="4"/>
      <c r="G56" s="4"/>
    </row>
    <row r="57" spans="1:7" ht="20" customHeight="1" x14ac:dyDescent="0.35">
      <c r="A57" s="4"/>
      <c r="B57" s="4"/>
      <c r="C57" s="4"/>
      <c r="D57" s="4"/>
      <c r="E57" s="4"/>
      <c r="F57" s="4"/>
      <c r="G57" s="4"/>
    </row>
    <row r="58" spans="1:7" ht="20" customHeight="1" x14ac:dyDescent="0.35">
      <c r="A58" s="4"/>
      <c r="B58" s="4"/>
      <c r="C58" s="4"/>
      <c r="D58" s="4"/>
      <c r="E58" s="4"/>
      <c r="F58" s="4"/>
      <c r="G58" s="4"/>
    </row>
    <row r="59" spans="1:7" ht="20" customHeight="1" x14ac:dyDescent="0.35">
      <c r="A59" s="4"/>
      <c r="B59" s="4"/>
      <c r="C59" s="4"/>
      <c r="D59" s="4"/>
      <c r="E59" s="4"/>
      <c r="F59" s="4"/>
      <c r="G59" s="4"/>
    </row>
    <row r="60" spans="1:7" ht="20" customHeight="1" x14ac:dyDescent="0.35">
      <c r="A60" s="4"/>
      <c r="B60" s="4"/>
      <c r="C60" s="4"/>
      <c r="D60" s="4"/>
      <c r="E60" s="4"/>
      <c r="F60" s="4"/>
      <c r="G60" s="4"/>
    </row>
    <row r="61" spans="1:7" ht="20" customHeight="1" x14ac:dyDescent="0.35">
      <c r="A61" s="4"/>
      <c r="B61" s="4"/>
      <c r="C61" s="4"/>
      <c r="D61" s="4"/>
      <c r="E61" s="4"/>
      <c r="F61" s="4"/>
      <c r="G61" s="4"/>
    </row>
    <row r="62" spans="1:7" ht="20" customHeight="1" x14ac:dyDescent="0.35">
      <c r="A62" s="4"/>
      <c r="B62" s="4"/>
      <c r="C62" s="4"/>
      <c r="D62" s="4"/>
      <c r="E62" s="4"/>
      <c r="F62" s="4"/>
      <c r="G62" s="4"/>
    </row>
    <row r="63" spans="1:7" ht="20" customHeight="1" x14ac:dyDescent="0.35">
      <c r="A63" s="4"/>
      <c r="B63" s="4"/>
      <c r="C63" s="4"/>
      <c r="D63" s="4"/>
      <c r="E63" s="4"/>
      <c r="F63" s="4"/>
      <c r="G63" s="4"/>
    </row>
    <row r="64" spans="1:7" ht="20" customHeight="1" x14ac:dyDescent="0.35">
      <c r="A64" s="4"/>
      <c r="B64" s="4"/>
      <c r="C64" s="4"/>
      <c r="D64" s="4"/>
      <c r="E64" s="4"/>
      <c r="F64" s="4"/>
      <c r="G64" s="4"/>
    </row>
    <row r="65" spans="1:7" ht="20" customHeight="1" x14ac:dyDescent="0.35">
      <c r="A65" s="4"/>
      <c r="B65" s="4"/>
      <c r="C65" s="4"/>
      <c r="D65" s="4"/>
      <c r="E65" s="4"/>
      <c r="F65" s="4"/>
      <c r="G65" s="4"/>
    </row>
    <row r="66" spans="1:7" ht="20" customHeight="1" x14ac:dyDescent="0.35">
      <c r="A66" s="4"/>
      <c r="B66" s="4"/>
      <c r="C66" s="4"/>
      <c r="D66" s="4"/>
      <c r="E66" s="4"/>
      <c r="F66" s="4"/>
      <c r="G66" s="4"/>
    </row>
    <row r="67" spans="1:7" ht="20" customHeight="1" x14ac:dyDescent="0.35">
      <c r="A67" s="4"/>
      <c r="B67" s="4"/>
      <c r="C67" s="4"/>
      <c r="D67" s="4"/>
      <c r="E67" s="4"/>
      <c r="F67" s="4"/>
      <c r="G67" s="4"/>
    </row>
    <row r="68" spans="1:7" ht="20" customHeight="1" x14ac:dyDescent="0.35">
      <c r="A68" s="4"/>
      <c r="B68" s="4"/>
      <c r="C68" s="4"/>
      <c r="D68" s="4"/>
      <c r="E68" s="4"/>
      <c r="F68" s="4"/>
      <c r="G68" s="4"/>
    </row>
    <row r="69" spans="1:7" ht="20" customHeight="1" x14ac:dyDescent="0.35">
      <c r="A69" s="4"/>
      <c r="B69" s="4"/>
      <c r="C69" s="4"/>
      <c r="D69" s="4"/>
      <c r="E69" s="4"/>
      <c r="F69" s="4"/>
      <c r="G69" s="4"/>
    </row>
    <row r="70" spans="1:7" ht="20" customHeight="1" x14ac:dyDescent="0.35">
      <c r="A70" s="4"/>
      <c r="B70" s="4"/>
      <c r="C70" s="4"/>
      <c r="D70" s="4"/>
      <c r="E70" s="4"/>
      <c r="F70" s="4"/>
      <c r="G70" s="4"/>
    </row>
    <row r="71" spans="1:7" ht="20" customHeight="1" x14ac:dyDescent="0.35">
      <c r="A71" s="4"/>
      <c r="B71" s="4"/>
      <c r="C71" s="4"/>
      <c r="D71" s="4"/>
      <c r="E71" s="4"/>
      <c r="F71" s="4"/>
      <c r="G71" s="4"/>
    </row>
    <row r="72" spans="1:7" ht="20" customHeight="1" x14ac:dyDescent="0.35">
      <c r="A72" s="4"/>
      <c r="B72" s="4"/>
      <c r="C72" s="4"/>
      <c r="D72" s="4"/>
      <c r="E72" s="4"/>
      <c r="F72" s="4"/>
      <c r="G72" s="4"/>
    </row>
    <row r="73" spans="1:7" ht="20" customHeight="1" x14ac:dyDescent="0.35">
      <c r="A73" s="4"/>
      <c r="B73" s="4"/>
      <c r="C73" s="4"/>
      <c r="D73" s="4"/>
      <c r="E73" s="4"/>
      <c r="F73" s="4"/>
      <c r="G73" s="4"/>
    </row>
    <row r="74" spans="1:7" ht="20" customHeight="1" x14ac:dyDescent="0.35">
      <c r="A74" s="4"/>
      <c r="B74" s="4"/>
      <c r="C74" s="4"/>
      <c r="D74" s="4"/>
      <c r="E74" s="4"/>
      <c r="F74" s="4"/>
      <c r="G74" s="4"/>
    </row>
    <row r="75" spans="1:7" ht="20" customHeight="1" x14ac:dyDescent="0.35">
      <c r="A75" s="4"/>
      <c r="B75" s="4"/>
      <c r="C75" s="4"/>
      <c r="D75" s="4"/>
      <c r="E75" s="4"/>
      <c r="F75" s="4"/>
      <c r="G75" s="4"/>
    </row>
    <row r="76" spans="1:7" ht="20" customHeight="1" x14ac:dyDescent="0.35">
      <c r="A76" s="4"/>
      <c r="B76" s="4"/>
      <c r="C76" s="4"/>
      <c r="D76" s="4"/>
      <c r="E76" s="4"/>
      <c r="F76" s="4"/>
      <c r="G76" s="4"/>
    </row>
    <row r="77" spans="1:7" ht="20" customHeight="1" x14ac:dyDescent="0.35">
      <c r="A77" s="4"/>
      <c r="B77" s="4"/>
      <c r="C77" s="4"/>
      <c r="D77" s="4"/>
      <c r="E77" s="4"/>
      <c r="F77" s="4"/>
      <c r="G77" s="4"/>
    </row>
    <row r="78" spans="1:7" ht="20" customHeight="1" x14ac:dyDescent="0.35">
      <c r="A78" s="4"/>
      <c r="B78" s="4"/>
      <c r="C78" s="4"/>
      <c r="D78" s="4"/>
      <c r="E78" s="4"/>
      <c r="F78" s="4"/>
      <c r="G78" s="4"/>
    </row>
    <row r="79" spans="1:7" ht="20" customHeight="1" x14ac:dyDescent="0.35">
      <c r="A79" s="4"/>
      <c r="B79" s="4"/>
      <c r="C79" s="4"/>
      <c r="D79" s="4"/>
      <c r="E79" s="4"/>
      <c r="F79" s="4"/>
      <c r="G79" s="4"/>
    </row>
    <row r="80" spans="1:7" ht="20" customHeight="1" x14ac:dyDescent="0.35">
      <c r="A80" s="4"/>
      <c r="B80" s="4"/>
      <c r="C80" s="4"/>
      <c r="D80" s="4"/>
      <c r="E80" s="4"/>
      <c r="F80" s="4"/>
      <c r="G80" s="4"/>
    </row>
    <row r="81" spans="1:7" ht="20" customHeight="1" x14ac:dyDescent="0.35">
      <c r="A81" s="4"/>
      <c r="B81" s="4"/>
      <c r="C81" s="4"/>
      <c r="D81" s="4"/>
      <c r="E81" s="4"/>
      <c r="F81" s="4"/>
      <c r="G81" s="4"/>
    </row>
  </sheetData>
  <mergeCells count="17">
    <mergeCell ref="A31:G31"/>
    <mergeCell ref="A34:G34"/>
    <mergeCell ref="A20:G20"/>
    <mergeCell ref="A26:G26"/>
    <mergeCell ref="A16:G16"/>
    <mergeCell ref="A30:G30"/>
    <mergeCell ref="A29:G29"/>
    <mergeCell ref="A19:G19"/>
    <mergeCell ref="A28:G28"/>
    <mergeCell ref="A23:G23"/>
    <mergeCell ref="A17:G17"/>
    <mergeCell ref="A18:G18"/>
    <mergeCell ref="A1:G2"/>
    <mergeCell ref="A27:G27"/>
    <mergeCell ref="A3:G3"/>
    <mergeCell ref="A21:G21"/>
    <mergeCell ref="A22:G22"/>
  </mergeCells>
  <conditionalFormatting sqref="D7:D13">
    <cfRule type="cellIs" dxfId="93" priority="1" operator="equal">
      <formula>"CHECK"</formula>
    </cfRule>
  </conditionalFormatting>
  <printOptions horizontalCentered="1"/>
  <pageMargins left="0.25" right="0.25" top="0.35" bottom="0.35" header="0.5" footer="0.5"/>
  <pageSetup paperSize="8" orientation="landscape"/>
  <headerFooter>
    <oddFooter>&amp;C&amp;9 Retail Sales Analysis | &amp;A | Page &amp;P of &amp;N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E8B"/>
    <outlinePr summaryRight="0"/>
    <pageSetUpPr fitToPage="1"/>
  </sheetPr>
  <dimension ref="A1:L81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sqref="A1:G2"/>
    </sheetView>
  </sheetViews>
  <sheetFormatPr defaultRowHeight="14.5" x14ac:dyDescent="0.35"/>
  <cols>
    <col min="1" max="1" width="15" customWidth="1"/>
    <col min="2" max="2" width="21" customWidth="1"/>
    <col min="3" max="3" width="18" customWidth="1"/>
    <col min="4" max="4" width="22" customWidth="1"/>
    <col min="5" max="5" width="20" customWidth="1"/>
    <col min="6" max="6" width="19" customWidth="1"/>
    <col min="7" max="7" width="47" customWidth="1"/>
    <col min="8" max="8" width="3" customWidth="1"/>
    <col min="9" max="9" width="25.6328125" customWidth="1"/>
    <col min="10" max="10" width="24.6328125" customWidth="1"/>
    <col min="11" max="11" width="26.6328125" customWidth="1"/>
    <col min="12" max="12" width="3.6328125" customWidth="1"/>
  </cols>
  <sheetData>
    <row r="1" spans="1:12" ht="28" customHeight="1" x14ac:dyDescent="0.35">
      <c r="A1" s="1" t="s">
        <v>28</v>
      </c>
      <c r="B1" s="2"/>
      <c r="C1" s="2"/>
      <c r="D1" s="2"/>
      <c r="E1" s="2"/>
      <c r="F1" s="2"/>
      <c r="G1" s="2"/>
      <c r="H1" s="4"/>
      <c r="I1" s="4"/>
      <c r="J1" s="4"/>
      <c r="K1" s="4"/>
      <c r="L1" s="4"/>
    </row>
    <row r="2" spans="1:12" ht="14" customHeight="1" x14ac:dyDescent="0.35">
      <c r="A2" s="2"/>
      <c r="B2" s="2"/>
      <c r="C2" s="2"/>
      <c r="D2" s="2"/>
      <c r="E2" s="2"/>
      <c r="F2" s="2"/>
      <c r="G2" s="2"/>
      <c r="H2" s="4"/>
      <c r="I2" s="17" t="s">
        <v>29</v>
      </c>
      <c r="J2" s="2"/>
      <c r="K2" s="2"/>
      <c r="L2" s="2"/>
    </row>
    <row r="3" spans="1:12" ht="32" customHeight="1" x14ac:dyDescent="0.35">
      <c r="A3" s="3" t="s">
        <v>30</v>
      </c>
      <c r="B3" s="2"/>
      <c r="C3" s="2"/>
      <c r="D3" s="2"/>
      <c r="E3" s="2"/>
      <c r="F3" s="2"/>
      <c r="G3" s="2"/>
      <c r="H3" s="4"/>
      <c r="I3" s="2"/>
      <c r="J3" s="2"/>
      <c r="K3" s="2"/>
      <c r="L3" s="2"/>
    </row>
    <row r="4" spans="1:12" ht="20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32" customHeight="1" x14ac:dyDescent="0.35">
      <c r="A5" s="5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4"/>
      <c r="I5" s="32" t="s">
        <v>31</v>
      </c>
      <c r="J5" s="33" t="s">
        <v>225</v>
      </c>
      <c r="K5" s="33" t="s">
        <v>226</v>
      </c>
      <c r="L5" s="4"/>
    </row>
    <row r="6" spans="1:12" ht="30" customHeight="1" x14ac:dyDescent="0.35">
      <c r="A6" s="18">
        <v>40513</v>
      </c>
      <c r="B6" s="19">
        <v>775638.36</v>
      </c>
      <c r="C6" s="20">
        <v>1550</v>
      </c>
      <c r="D6" s="21">
        <f t="shared" ref="D6:D18" si="0">ROUND(B6/C6,2)</f>
        <v>500.41</v>
      </c>
      <c r="E6" s="22"/>
      <c r="F6" s="22"/>
      <c r="G6" s="23" t="s">
        <v>38</v>
      </c>
      <c r="H6" s="4"/>
      <c r="I6" s="29">
        <v>40513</v>
      </c>
      <c r="J6" s="30">
        <v>775638.36</v>
      </c>
      <c r="K6" s="31">
        <v>1550</v>
      </c>
      <c r="L6" s="4"/>
    </row>
    <row r="7" spans="1:12" ht="23" customHeight="1" x14ac:dyDescent="0.35">
      <c r="A7" s="24">
        <v>40544</v>
      </c>
      <c r="B7" s="8">
        <v>670380.24</v>
      </c>
      <c r="C7" s="11">
        <v>1081</v>
      </c>
      <c r="D7" s="7">
        <f t="shared" si="0"/>
        <v>620.15</v>
      </c>
      <c r="E7" s="12">
        <f t="shared" ref="E7:E18" si="1">IFERROR(B7/B6-1,"")</f>
        <v>-0.13570515001346761</v>
      </c>
      <c r="F7" s="12" t="str">
        <f t="shared" ref="F7:F18" si="2">IF(AND(G7="Interior calendar month",G6="Interior calendar month"),E7,"")</f>
        <v/>
      </c>
      <c r="G7" s="6" t="s">
        <v>39</v>
      </c>
      <c r="H7" s="4"/>
      <c r="I7" s="29">
        <v>40544</v>
      </c>
      <c r="J7" s="30">
        <v>670380.24</v>
      </c>
      <c r="K7" s="31">
        <v>1081</v>
      </c>
      <c r="L7" s="4"/>
    </row>
    <row r="8" spans="1:12" ht="23" customHeight="1" x14ac:dyDescent="0.35">
      <c r="A8" s="24">
        <v>40575</v>
      </c>
      <c r="B8" s="8">
        <v>507799.87</v>
      </c>
      <c r="C8" s="11">
        <v>1093</v>
      </c>
      <c r="D8" s="7">
        <f t="shared" si="0"/>
        <v>464.59</v>
      </c>
      <c r="E8" s="12">
        <f t="shared" si="1"/>
        <v>-0.24251963333525461</v>
      </c>
      <c r="F8" s="12">
        <f t="shared" si="2"/>
        <v>-0.24251963333525461</v>
      </c>
      <c r="G8" s="6" t="s">
        <v>39</v>
      </c>
      <c r="H8" s="4"/>
      <c r="I8" s="29">
        <v>40575</v>
      </c>
      <c r="J8" s="30">
        <v>507799.87</v>
      </c>
      <c r="K8" s="31">
        <v>1093</v>
      </c>
      <c r="L8" s="4"/>
    </row>
    <row r="9" spans="1:12" ht="23" customHeight="1" x14ac:dyDescent="0.35">
      <c r="A9" s="24">
        <v>40603</v>
      </c>
      <c r="B9" s="8">
        <v>689833.51</v>
      </c>
      <c r="C9" s="11">
        <v>1440</v>
      </c>
      <c r="D9" s="7">
        <f t="shared" si="0"/>
        <v>479.05</v>
      </c>
      <c r="E9" s="12">
        <f t="shared" si="1"/>
        <v>0.35847516069667362</v>
      </c>
      <c r="F9" s="12">
        <f t="shared" si="2"/>
        <v>0.35847516069667362</v>
      </c>
      <c r="G9" s="6" t="s">
        <v>39</v>
      </c>
      <c r="H9" s="4"/>
      <c r="I9" s="29">
        <v>40603</v>
      </c>
      <c r="J9" s="30">
        <v>689833.51</v>
      </c>
      <c r="K9" s="31">
        <v>1440</v>
      </c>
      <c r="L9" s="4"/>
    </row>
    <row r="10" spans="1:12" ht="23" customHeight="1" x14ac:dyDescent="0.35">
      <c r="A10" s="24">
        <v>40634</v>
      </c>
      <c r="B10" s="8">
        <v>515377.99</v>
      </c>
      <c r="C10" s="11">
        <v>1235</v>
      </c>
      <c r="D10" s="7">
        <f t="shared" si="0"/>
        <v>417.31</v>
      </c>
      <c r="E10" s="12">
        <f t="shared" si="1"/>
        <v>-0.25289510798047488</v>
      </c>
      <c r="F10" s="12">
        <f t="shared" si="2"/>
        <v>-0.25289510798047488</v>
      </c>
      <c r="G10" s="6" t="s">
        <v>39</v>
      </c>
      <c r="H10" s="4"/>
      <c r="I10" s="29">
        <v>40634</v>
      </c>
      <c r="J10" s="30">
        <v>515377.99</v>
      </c>
      <c r="K10" s="31">
        <v>1235</v>
      </c>
      <c r="L10" s="4"/>
    </row>
    <row r="11" spans="1:12" ht="23" customHeight="1" x14ac:dyDescent="0.35">
      <c r="A11" s="24">
        <v>40664</v>
      </c>
      <c r="B11" s="8">
        <v>739953</v>
      </c>
      <c r="C11" s="11">
        <v>1668</v>
      </c>
      <c r="D11" s="7">
        <f t="shared" si="0"/>
        <v>443.62</v>
      </c>
      <c r="E11" s="12">
        <f t="shared" si="1"/>
        <v>0.43574815835654923</v>
      </c>
      <c r="F11" s="12">
        <f t="shared" si="2"/>
        <v>0.43574815835654923</v>
      </c>
      <c r="G11" s="6" t="s">
        <v>39</v>
      </c>
      <c r="H11" s="4"/>
      <c r="I11" s="29">
        <v>40664</v>
      </c>
      <c r="J11" s="30">
        <v>739953</v>
      </c>
      <c r="K11" s="31">
        <v>1668</v>
      </c>
      <c r="L11" s="4"/>
    </row>
    <row r="12" spans="1:12" ht="23" customHeight="1" x14ac:dyDescent="0.35">
      <c r="A12" s="24">
        <v>40695</v>
      </c>
      <c r="B12" s="8">
        <v>737558.98</v>
      </c>
      <c r="C12" s="11">
        <v>1525</v>
      </c>
      <c r="D12" s="7">
        <f t="shared" si="0"/>
        <v>483.65</v>
      </c>
      <c r="E12" s="12">
        <f t="shared" si="1"/>
        <v>-3.2353676517292707E-3</v>
      </c>
      <c r="F12" s="12">
        <f t="shared" si="2"/>
        <v>-3.2353676517292707E-3</v>
      </c>
      <c r="G12" s="6" t="s">
        <v>39</v>
      </c>
      <c r="H12" s="4"/>
      <c r="I12" s="29">
        <v>40695</v>
      </c>
      <c r="J12" s="30">
        <v>737558.98</v>
      </c>
      <c r="K12" s="31">
        <v>1525</v>
      </c>
      <c r="L12" s="4"/>
    </row>
    <row r="13" spans="1:12" ht="23" customHeight="1" x14ac:dyDescent="0.35">
      <c r="A13" s="24">
        <v>40725</v>
      </c>
      <c r="B13" s="8">
        <v>688219.34</v>
      </c>
      <c r="C13" s="11">
        <v>1452</v>
      </c>
      <c r="D13" s="7">
        <f t="shared" si="0"/>
        <v>473.98</v>
      </c>
      <c r="E13" s="12">
        <f t="shared" si="1"/>
        <v>-6.6895856925231922E-2</v>
      </c>
      <c r="F13" s="12">
        <f t="shared" si="2"/>
        <v>-6.6895856925231922E-2</v>
      </c>
      <c r="G13" s="6" t="s">
        <v>39</v>
      </c>
      <c r="H13" s="4"/>
      <c r="I13" s="29">
        <v>40725</v>
      </c>
      <c r="J13" s="30">
        <v>688219.34</v>
      </c>
      <c r="K13" s="31">
        <v>1452</v>
      </c>
      <c r="L13" s="4"/>
    </row>
    <row r="14" spans="1:12" ht="23" customHeight="1" x14ac:dyDescent="0.35">
      <c r="A14" s="24">
        <v>40756</v>
      </c>
      <c r="B14" s="8">
        <v>724216.5</v>
      </c>
      <c r="C14" s="11">
        <v>1339</v>
      </c>
      <c r="D14" s="7">
        <f t="shared" si="0"/>
        <v>540.86</v>
      </c>
      <c r="E14" s="12">
        <f t="shared" si="1"/>
        <v>5.2304778299313792E-2</v>
      </c>
      <c r="F14" s="12">
        <f t="shared" si="2"/>
        <v>5.2304778299313792E-2</v>
      </c>
      <c r="G14" s="6" t="s">
        <v>39</v>
      </c>
      <c r="H14" s="4"/>
      <c r="I14" s="29">
        <v>40756</v>
      </c>
      <c r="J14" s="30">
        <v>724216.5</v>
      </c>
      <c r="K14" s="31">
        <v>1339</v>
      </c>
      <c r="L14" s="4"/>
    </row>
    <row r="15" spans="1:12" ht="23" customHeight="1" x14ac:dyDescent="0.35">
      <c r="A15" s="24">
        <v>40787</v>
      </c>
      <c r="B15" s="8">
        <v>1028320.38</v>
      </c>
      <c r="C15" s="11">
        <v>1818</v>
      </c>
      <c r="D15" s="7">
        <f t="shared" si="0"/>
        <v>565.63</v>
      </c>
      <c r="E15" s="12">
        <f t="shared" si="1"/>
        <v>0.41990741718809232</v>
      </c>
      <c r="F15" s="12">
        <f t="shared" si="2"/>
        <v>0.41990741718809232</v>
      </c>
      <c r="G15" s="6" t="s">
        <v>39</v>
      </c>
      <c r="H15" s="4"/>
      <c r="I15" s="29">
        <v>40787</v>
      </c>
      <c r="J15" s="30">
        <v>1028320.38</v>
      </c>
      <c r="K15" s="31">
        <v>1818</v>
      </c>
      <c r="L15" s="4"/>
    </row>
    <row r="16" spans="1:12" ht="23" customHeight="1" x14ac:dyDescent="0.35">
      <c r="A16" s="24">
        <v>40817</v>
      </c>
      <c r="B16" s="8">
        <v>1103314.25</v>
      </c>
      <c r="C16" s="11">
        <v>2005</v>
      </c>
      <c r="D16" s="7">
        <f t="shared" si="0"/>
        <v>550.28</v>
      </c>
      <c r="E16" s="12">
        <f t="shared" si="1"/>
        <v>7.2928506969783147E-2</v>
      </c>
      <c r="F16" s="12">
        <f t="shared" si="2"/>
        <v>7.2928506969783147E-2</v>
      </c>
      <c r="G16" s="6" t="s">
        <v>39</v>
      </c>
      <c r="H16" s="4"/>
      <c r="I16" s="29">
        <v>40817</v>
      </c>
      <c r="J16" s="30">
        <v>1103314.25</v>
      </c>
      <c r="K16" s="31">
        <v>2005</v>
      </c>
      <c r="L16" s="4"/>
    </row>
    <row r="17" spans="1:12" ht="23" customHeight="1" x14ac:dyDescent="0.35">
      <c r="A17" s="24">
        <v>40848</v>
      </c>
      <c r="B17" s="8">
        <v>1452115.98</v>
      </c>
      <c r="C17" s="11">
        <v>2751</v>
      </c>
      <c r="D17" s="7">
        <f t="shared" si="0"/>
        <v>527.85</v>
      </c>
      <c r="E17" s="12">
        <f t="shared" si="1"/>
        <v>0.31613996646920861</v>
      </c>
      <c r="F17" s="12">
        <f t="shared" si="2"/>
        <v>0.31613996646920861</v>
      </c>
      <c r="G17" s="6" t="s">
        <v>39</v>
      </c>
      <c r="H17" s="4"/>
      <c r="I17" s="29">
        <v>40848</v>
      </c>
      <c r="J17" s="30">
        <v>1452115.98</v>
      </c>
      <c r="K17" s="31">
        <v>2751</v>
      </c>
      <c r="L17" s="4"/>
    </row>
    <row r="18" spans="1:12" ht="30" customHeight="1" x14ac:dyDescent="0.35">
      <c r="A18" s="18">
        <v>40878</v>
      </c>
      <c r="B18" s="19">
        <v>614490.92000000004</v>
      </c>
      <c r="C18" s="20">
        <v>816</v>
      </c>
      <c r="D18" s="21">
        <f t="shared" si="0"/>
        <v>753.05</v>
      </c>
      <c r="E18" s="25">
        <f t="shared" si="1"/>
        <v>-0.57683068813828497</v>
      </c>
      <c r="F18" s="25" t="str">
        <f t="shared" si="2"/>
        <v/>
      </c>
      <c r="G18" s="23" t="s">
        <v>40</v>
      </c>
      <c r="H18" s="4"/>
      <c r="I18" s="29">
        <v>40878</v>
      </c>
      <c r="J18" s="30">
        <v>614490.92000000004</v>
      </c>
      <c r="K18" s="31">
        <v>816</v>
      </c>
      <c r="L18" s="4"/>
    </row>
    <row r="19" spans="1:12" ht="20" customHeight="1" x14ac:dyDescent="0.35">
      <c r="A19" s="4"/>
      <c r="B19" s="4"/>
      <c r="C19" s="4"/>
      <c r="D19" s="4"/>
      <c r="E19" s="4"/>
      <c r="F19" s="4"/>
      <c r="G19" s="4"/>
      <c r="H19" s="4"/>
      <c r="I19" s="29" t="s">
        <v>224</v>
      </c>
      <c r="J19" s="30">
        <v>10247219.32</v>
      </c>
      <c r="K19" s="31">
        <v>19773</v>
      </c>
      <c r="L19" s="4"/>
    </row>
    <row r="20" spans="1:12" ht="20" customHeight="1" x14ac:dyDescent="0.35">
      <c r="A20" s="4" t="s">
        <v>41</v>
      </c>
      <c r="B20" s="26">
        <f>SUM(B6:B18)</f>
        <v>10247219.32</v>
      </c>
      <c r="C20" s="27">
        <f>SUM(C6:C18)</f>
        <v>19773</v>
      </c>
      <c r="D20" s="4"/>
      <c r="E20" s="4"/>
      <c r="F20" s="4"/>
      <c r="G20" s="4"/>
      <c r="H20" s="4"/>
      <c r="I20" s="4"/>
      <c r="J20" s="4"/>
      <c r="K20" s="4"/>
      <c r="L20" s="4"/>
    </row>
    <row r="21" spans="1:12" ht="20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20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0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0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20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20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20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20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20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20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20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20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20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20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20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20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20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20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20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20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20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20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20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20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20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20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20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20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20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20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20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20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20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20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20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20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20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20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20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20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20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20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20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20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20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20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20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20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20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20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20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20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20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20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20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20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20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20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20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20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20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</sheetData>
  <mergeCells count="3">
    <mergeCell ref="A3:G3"/>
    <mergeCell ref="I2:L3"/>
    <mergeCell ref="A1:G2"/>
  </mergeCells>
  <printOptions horizontalCentered="1"/>
  <pageMargins left="0.25" right="0.25" top="0.35" bottom="0.35" header="0.5" footer="0.5"/>
  <pageSetup paperSize="8" orientation="landscape"/>
  <headerFooter>
    <oddFooter>&amp;C&amp;9 Retail Sales Analysis | &amp;A | 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E8B"/>
    <outlinePr summaryRight="0"/>
    <pageSetUpPr fitToPage="1"/>
  </sheetPr>
  <dimension ref="A1:G81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sqref="A1:G2"/>
    </sheetView>
  </sheetViews>
  <sheetFormatPr defaultRowHeight="14.5" x14ac:dyDescent="0.35"/>
  <cols>
    <col min="1" max="1" width="8" customWidth="1"/>
    <col min="2" max="2" width="15" customWidth="1"/>
    <col min="3" max="3" width="47" customWidth="1"/>
    <col min="4" max="4" width="16" customWidth="1"/>
    <col min="5" max="5" width="22" customWidth="1"/>
    <col min="6" max="6" width="3" customWidth="1"/>
    <col min="7" max="7" width="17" customWidth="1"/>
    <col min="8" max="8" width="3" customWidth="1"/>
    <col min="9" max="9" width="19" customWidth="1"/>
    <col min="10" max="10" width="21" customWidth="1"/>
    <col min="11" max="11" width="18" customWidth="1"/>
    <col min="12" max="12" width="16" customWidth="1"/>
  </cols>
  <sheetData>
    <row r="1" spans="1:7" ht="28" customHeight="1" x14ac:dyDescent="0.35">
      <c r="A1" s="1" t="s">
        <v>42</v>
      </c>
      <c r="B1" s="2"/>
      <c r="C1" s="2"/>
      <c r="D1" s="2"/>
      <c r="E1" s="2"/>
      <c r="F1" s="2"/>
      <c r="G1" s="2"/>
    </row>
    <row r="2" spans="1:7" ht="14" customHeight="1" x14ac:dyDescent="0.35">
      <c r="A2" s="2"/>
      <c r="B2" s="2"/>
      <c r="C2" s="2"/>
      <c r="D2" s="2"/>
      <c r="E2" s="2"/>
      <c r="F2" s="2"/>
      <c r="G2" s="2"/>
    </row>
    <row r="3" spans="1:7" ht="32" customHeight="1" x14ac:dyDescent="0.35">
      <c r="A3" s="15" t="s">
        <v>43</v>
      </c>
      <c r="B3" s="2"/>
      <c r="C3" s="2"/>
      <c r="D3" s="2"/>
      <c r="E3" s="2"/>
      <c r="F3" s="2"/>
      <c r="G3" s="2"/>
    </row>
    <row r="4" spans="1:7" ht="20" customHeight="1" x14ac:dyDescent="0.35">
      <c r="A4" s="4"/>
      <c r="B4" s="4"/>
      <c r="C4" s="4"/>
      <c r="D4" s="4"/>
      <c r="E4" s="4"/>
      <c r="F4" s="4"/>
      <c r="G4" s="4"/>
    </row>
    <row r="5" spans="1:7" ht="32" customHeight="1" x14ac:dyDescent="0.35">
      <c r="A5" s="5" t="s">
        <v>44</v>
      </c>
      <c r="B5" s="5" t="s">
        <v>45</v>
      </c>
      <c r="C5" s="5" t="s">
        <v>46</v>
      </c>
      <c r="D5" s="5" t="s">
        <v>8</v>
      </c>
      <c r="E5" s="5" t="s">
        <v>32</v>
      </c>
      <c r="F5" s="4"/>
      <c r="G5" s="4"/>
    </row>
    <row r="6" spans="1:7" ht="30" customHeight="1" x14ac:dyDescent="0.35">
      <c r="A6" s="34">
        <v>1</v>
      </c>
      <c r="B6" s="35" t="s">
        <v>47</v>
      </c>
      <c r="C6" s="6" t="s">
        <v>48</v>
      </c>
      <c r="D6" s="11">
        <v>13851</v>
      </c>
      <c r="E6" s="8">
        <v>174156.54</v>
      </c>
      <c r="F6" s="4"/>
      <c r="G6" s="4"/>
    </row>
    <row r="7" spans="1:7" ht="30" customHeight="1" x14ac:dyDescent="0.35">
      <c r="A7" s="34">
        <v>2</v>
      </c>
      <c r="B7" s="35" t="s">
        <v>49</v>
      </c>
      <c r="C7" s="6" t="s">
        <v>50</v>
      </c>
      <c r="D7" s="11">
        <v>80995</v>
      </c>
      <c r="E7" s="8">
        <v>168469.6</v>
      </c>
      <c r="F7" s="4"/>
      <c r="G7" s="4"/>
    </row>
    <row r="8" spans="1:7" ht="30" customHeight="1" x14ac:dyDescent="0.35">
      <c r="A8" s="34">
        <v>3</v>
      </c>
      <c r="B8" s="35" t="s">
        <v>51</v>
      </c>
      <c r="C8" s="6" t="s">
        <v>52</v>
      </c>
      <c r="D8" s="11">
        <v>37641</v>
      </c>
      <c r="E8" s="8">
        <v>104462.75</v>
      </c>
      <c r="F8" s="4"/>
      <c r="G8" s="4"/>
    </row>
    <row r="9" spans="1:7" ht="30" customHeight="1" x14ac:dyDescent="0.35">
      <c r="A9" s="34">
        <v>4</v>
      </c>
      <c r="B9" s="35" t="s">
        <v>53</v>
      </c>
      <c r="C9" s="6" t="s">
        <v>54</v>
      </c>
      <c r="D9" s="11">
        <v>18283</v>
      </c>
      <c r="E9" s="8">
        <v>99445.23</v>
      </c>
      <c r="F9" s="4"/>
      <c r="G9" s="4"/>
    </row>
    <row r="10" spans="1:7" ht="30" customHeight="1" x14ac:dyDescent="0.35">
      <c r="A10" s="34">
        <v>5</v>
      </c>
      <c r="B10" s="35" t="s">
        <v>55</v>
      </c>
      <c r="C10" s="6" t="s">
        <v>56</v>
      </c>
      <c r="D10" s="11">
        <v>48371</v>
      </c>
      <c r="E10" s="8">
        <v>94159.81</v>
      </c>
      <c r="F10" s="4"/>
      <c r="G10" s="4"/>
    </row>
    <row r="11" spans="1:7" ht="30" customHeight="1" x14ac:dyDescent="0.35">
      <c r="A11" s="34">
        <v>6</v>
      </c>
      <c r="B11" s="35" t="s">
        <v>57</v>
      </c>
      <c r="C11" s="6" t="s">
        <v>58</v>
      </c>
      <c r="D11" s="11">
        <v>78033</v>
      </c>
      <c r="E11" s="8">
        <v>81700.92</v>
      </c>
      <c r="F11" s="4"/>
      <c r="G11" s="4"/>
    </row>
    <row r="12" spans="1:7" ht="30" customHeight="1" x14ac:dyDescent="0.35">
      <c r="A12" s="34">
        <v>7</v>
      </c>
      <c r="B12" s="35" t="s">
        <v>59</v>
      </c>
      <c r="C12" s="6" t="s">
        <v>60</v>
      </c>
      <c r="D12" s="11">
        <v>30739</v>
      </c>
      <c r="E12" s="8">
        <v>66870.03</v>
      </c>
      <c r="F12" s="4"/>
      <c r="G12" s="4"/>
    </row>
    <row r="13" spans="1:7" ht="30" customHeight="1" x14ac:dyDescent="0.35">
      <c r="A13" s="34">
        <v>8</v>
      </c>
      <c r="B13" s="35" t="s">
        <v>61</v>
      </c>
      <c r="C13" s="6" t="s">
        <v>62</v>
      </c>
      <c r="D13" s="11">
        <v>19329</v>
      </c>
      <c r="E13" s="8">
        <v>64875.59</v>
      </c>
      <c r="F13" s="4"/>
      <c r="G13" s="4"/>
    </row>
    <row r="14" spans="1:7" ht="30" customHeight="1" x14ac:dyDescent="0.35">
      <c r="A14" s="34">
        <v>9</v>
      </c>
      <c r="B14" s="35" t="s">
        <v>63</v>
      </c>
      <c r="C14" s="6" t="s">
        <v>64</v>
      </c>
      <c r="D14" s="11">
        <v>36362</v>
      </c>
      <c r="E14" s="8">
        <v>58927.62</v>
      </c>
      <c r="F14" s="4"/>
      <c r="G14" s="4"/>
    </row>
    <row r="15" spans="1:7" ht="30" customHeight="1" x14ac:dyDescent="0.35">
      <c r="A15" s="34">
        <v>10</v>
      </c>
      <c r="B15" s="35" t="s">
        <v>65</v>
      </c>
      <c r="C15" s="6" t="s">
        <v>66</v>
      </c>
      <c r="D15" s="11">
        <v>10302</v>
      </c>
      <c r="E15" s="8">
        <v>54096.36</v>
      </c>
      <c r="F15" s="4"/>
      <c r="G15" s="4"/>
    </row>
    <row r="16" spans="1:7" ht="20" customHeight="1" x14ac:dyDescent="0.35">
      <c r="A16" s="4"/>
      <c r="B16" s="4"/>
      <c r="C16" s="4"/>
      <c r="D16" s="4"/>
      <c r="E16" s="4"/>
      <c r="F16" s="4"/>
      <c r="G16" s="4"/>
    </row>
    <row r="17" spans="1:7" ht="20" customHeight="1" x14ac:dyDescent="0.35">
      <c r="A17" s="4"/>
      <c r="B17" s="4"/>
      <c r="C17" s="4"/>
      <c r="D17" s="4"/>
      <c r="E17" s="4"/>
      <c r="F17" s="4"/>
      <c r="G17" s="4"/>
    </row>
    <row r="18" spans="1:7" ht="20" customHeight="1" x14ac:dyDescent="0.35">
      <c r="A18" s="4"/>
      <c r="B18" s="4"/>
      <c r="C18" s="4"/>
      <c r="D18" s="4"/>
      <c r="E18" s="4"/>
      <c r="F18" s="4"/>
      <c r="G18" s="4"/>
    </row>
    <row r="19" spans="1:7" ht="20" customHeight="1" x14ac:dyDescent="0.35">
      <c r="A19" s="4"/>
      <c r="B19" s="4"/>
      <c r="C19" s="4"/>
      <c r="D19" s="4"/>
      <c r="E19" s="4"/>
      <c r="F19" s="4"/>
      <c r="G19" s="4"/>
    </row>
    <row r="20" spans="1:7" ht="20" customHeight="1" x14ac:dyDescent="0.35">
      <c r="A20" s="4"/>
      <c r="B20" s="4"/>
      <c r="C20" s="4"/>
      <c r="D20" s="4"/>
      <c r="E20" s="4"/>
      <c r="F20" s="4"/>
      <c r="G20" s="4"/>
    </row>
    <row r="21" spans="1:7" ht="20" customHeight="1" x14ac:dyDescent="0.35">
      <c r="A21" s="4"/>
      <c r="B21" s="4"/>
      <c r="C21" s="4"/>
      <c r="D21" s="4"/>
      <c r="E21" s="4"/>
      <c r="F21" s="4"/>
      <c r="G21" s="4"/>
    </row>
    <row r="22" spans="1:7" ht="20" customHeight="1" x14ac:dyDescent="0.35">
      <c r="A22" s="4"/>
      <c r="B22" s="4"/>
      <c r="C22" s="4"/>
      <c r="D22" s="4"/>
      <c r="E22" s="4"/>
      <c r="F22" s="4"/>
      <c r="G22" s="4"/>
    </row>
    <row r="23" spans="1:7" ht="32" customHeight="1" x14ac:dyDescent="0.35">
      <c r="A23" s="5" t="s">
        <v>44</v>
      </c>
      <c r="B23" s="5" t="s">
        <v>45</v>
      </c>
      <c r="C23" s="5" t="s">
        <v>46</v>
      </c>
      <c r="D23" s="5" t="s">
        <v>8</v>
      </c>
      <c r="E23" s="5" t="s">
        <v>32</v>
      </c>
      <c r="F23" s="4"/>
      <c r="G23" s="4"/>
    </row>
    <row r="24" spans="1:7" ht="30" customHeight="1" x14ac:dyDescent="0.35">
      <c r="A24" s="34">
        <v>1</v>
      </c>
      <c r="B24" s="35" t="s">
        <v>49</v>
      </c>
      <c r="C24" s="6" t="s">
        <v>50</v>
      </c>
      <c r="D24" s="11">
        <v>80995</v>
      </c>
      <c r="E24" s="8">
        <v>168469.6</v>
      </c>
      <c r="F24" s="4"/>
      <c r="G24" s="4"/>
    </row>
    <row r="25" spans="1:7" ht="30" customHeight="1" x14ac:dyDescent="0.35">
      <c r="A25" s="34">
        <v>2</v>
      </c>
      <c r="B25" s="35" t="s">
        <v>57</v>
      </c>
      <c r="C25" s="6" t="s">
        <v>58</v>
      </c>
      <c r="D25" s="11">
        <v>78033</v>
      </c>
      <c r="E25" s="8">
        <v>81700.92</v>
      </c>
      <c r="F25" s="4"/>
      <c r="G25" s="4"/>
    </row>
    <row r="26" spans="1:7" ht="30" customHeight="1" x14ac:dyDescent="0.35">
      <c r="A26" s="34">
        <v>3</v>
      </c>
      <c r="B26" s="35" t="s">
        <v>67</v>
      </c>
      <c r="C26" s="6" t="s">
        <v>68</v>
      </c>
      <c r="D26" s="11">
        <v>56898</v>
      </c>
      <c r="E26" s="8">
        <v>51334.47</v>
      </c>
      <c r="F26" s="4"/>
      <c r="G26" s="4"/>
    </row>
    <row r="27" spans="1:7" ht="30" customHeight="1" x14ac:dyDescent="0.35">
      <c r="A27" s="34">
        <v>4</v>
      </c>
      <c r="B27" s="35" t="s">
        <v>69</v>
      </c>
      <c r="C27" s="6" t="s">
        <v>70</v>
      </c>
      <c r="D27" s="11">
        <v>54951</v>
      </c>
      <c r="E27" s="8">
        <v>13814.01</v>
      </c>
      <c r="F27" s="4"/>
      <c r="G27" s="4"/>
    </row>
    <row r="28" spans="1:7" ht="30" customHeight="1" x14ac:dyDescent="0.35">
      <c r="A28" s="34">
        <v>5</v>
      </c>
      <c r="B28" s="35" t="s">
        <v>55</v>
      </c>
      <c r="C28" s="6" t="s">
        <v>56</v>
      </c>
      <c r="D28" s="11">
        <v>48371</v>
      </c>
      <c r="E28" s="8">
        <v>94159.81</v>
      </c>
      <c r="F28" s="4"/>
      <c r="G28" s="4"/>
    </row>
    <row r="29" spans="1:7" ht="30" customHeight="1" x14ac:dyDescent="0.35">
      <c r="A29" s="34">
        <v>6</v>
      </c>
      <c r="B29" s="35" t="s">
        <v>51</v>
      </c>
      <c r="C29" s="6" t="s">
        <v>52</v>
      </c>
      <c r="D29" s="11">
        <v>37641</v>
      </c>
      <c r="E29" s="8">
        <v>104462.75</v>
      </c>
      <c r="F29" s="4"/>
      <c r="G29" s="4"/>
    </row>
    <row r="30" spans="1:7" ht="30" customHeight="1" x14ac:dyDescent="0.35">
      <c r="A30" s="34">
        <v>7</v>
      </c>
      <c r="B30" s="35" t="s">
        <v>71</v>
      </c>
      <c r="C30" s="6" t="s">
        <v>72</v>
      </c>
      <c r="D30" s="11">
        <v>36396</v>
      </c>
      <c r="E30" s="8">
        <v>21246.45</v>
      </c>
      <c r="F30" s="4"/>
      <c r="G30" s="4"/>
    </row>
    <row r="31" spans="1:7" ht="30" customHeight="1" x14ac:dyDescent="0.35">
      <c r="A31" s="34">
        <v>8</v>
      </c>
      <c r="B31" s="35" t="s">
        <v>63</v>
      </c>
      <c r="C31" s="6" t="s">
        <v>64</v>
      </c>
      <c r="D31" s="11">
        <v>36362</v>
      </c>
      <c r="E31" s="8">
        <v>58927.62</v>
      </c>
      <c r="F31" s="4"/>
      <c r="G31" s="4"/>
    </row>
    <row r="32" spans="1:7" ht="30" customHeight="1" x14ac:dyDescent="0.35">
      <c r="A32" s="34">
        <v>9</v>
      </c>
      <c r="B32" s="35" t="s">
        <v>59</v>
      </c>
      <c r="C32" s="6" t="s">
        <v>60</v>
      </c>
      <c r="D32" s="11">
        <v>30739</v>
      </c>
      <c r="E32" s="8">
        <v>66870.03</v>
      </c>
      <c r="F32" s="4"/>
      <c r="G32" s="4"/>
    </row>
    <row r="33" spans="1:7" ht="30" customHeight="1" x14ac:dyDescent="0.35">
      <c r="A33" s="34">
        <v>10</v>
      </c>
      <c r="B33" s="35" t="s">
        <v>73</v>
      </c>
      <c r="C33" s="6" t="s">
        <v>74</v>
      </c>
      <c r="D33" s="11">
        <v>26633</v>
      </c>
      <c r="E33" s="8">
        <v>16937.82</v>
      </c>
      <c r="F33" s="4"/>
      <c r="G33" s="4"/>
    </row>
    <row r="34" spans="1:7" ht="20" customHeight="1" x14ac:dyDescent="0.35">
      <c r="A34" s="4"/>
      <c r="B34" s="4"/>
      <c r="C34" s="4"/>
      <c r="D34" s="4"/>
      <c r="E34" s="4"/>
      <c r="F34" s="4"/>
      <c r="G34" s="4"/>
    </row>
    <row r="35" spans="1:7" ht="20" customHeight="1" x14ac:dyDescent="0.35">
      <c r="A35" s="4"/>
      <c r="B35" s="4"/>
      <c r="C35" s="4"/>
      <c r="D35" s="4"/>
      <c r="E35" s="4"/>
      <c r="F35" s="4"/>
      <c r="G35" s="4"/>
    </row>
    <row r="36" spans="1:7" ht="20" customHeight="1" x14ac:dyDescent="0.35">
      <c r="A36" s="4"/>
      <c r="B36" s="4"/>
      <c r="C36" s="4"/>
      <c r="D36" s="4"/>
      <c r="E36" s="4"/>
      <c r="F36" s="4"/>
      <c r="G36" s="4"/>
    </row>
    <row r="37" spans="1:7" ht="20" customHeight="1" x14ac:dyDescent="0.35">
      <c r="A37" s="4"/>
      <c r="B37" s="4"/>
      <c r="C37" s="4"/>
      <c r="D37" s="4"/>
      <c r="E37" s="4"/>
      <c r="F37" s="4"/>
      <c r="G37" s="4"/>
    </row>
    <row r="38" spans="1:7" ht="20" customHeight="1" x14ac:dyDescent="0.35">
      <c r="A38" s="4"/>
      <c r="B38" s="4"/>
      <c r="C38" s="4"/>
      <c r="D38" s="4"/>
      <c r="E38" s="4"/>
      <c r="F38" s="4"/>
      <c r="G38" s="4"/>
    </row>
    <row r="39" spans="1:7" ht="20" customHeight="1" x14ac:dyDescent="0.35">
      <c r="A39" s="4"/>
      <c r="B39" s="4"/>
      <c r="C39" s="4"/>
      <c r="D39" s="4"/>
      <c r="E39" s="4"/>
      <c r="F39" s="4"/>
      <c r="G39" s="4"/>
    </row>
    <row r="40" spans="1:7" ht="20" customHeight="1" x14ac:dyDescent="0.35">
      <c r="A40" s="4"/>
      <c r="B40" s="4"/>
      <c r="C40" s="4"/>
      <c r="D40" s="4"/>
      <c r="E40" s="4"/>
      <c r="F40" s="4"/>
      <c r="G40" s="4"/>
    </row>
    <row r="41" spans="1:7" ht="20" customHeight="1" x14ac:dyDescent="0.35">
      <c r="A41" s="4"/>
      <c r="B41" s="4"/>
      <c r="C41" s="4"/>
      <c r="D41" s="4"/>
      <c r="E41" s="4"/>
      <c r="F41" s="4"/>
      <c r="G41" s="4"/>
    </row>
    <row r="42" spans="1:7" ht="20" customHeight="1" x14ac:dyDescent="0.35">
      <c r="A42" s="4"/>
      <c r="B42" s="4"/>
      <c r="C42" s="4"/>
      <c r="D42" s="4"/>
      <c r="E42" s="4"/>
      <c r="F42" s="4"/>
      <c r="G42" s="4"/>
    </row>
    <row r="43" spans="1:7" ht="20" customHeight="1" x14ac:dyDescent="0.35">
      <c r="A43" s="4"/>
      <c r="B43" s="4"/>
      <c r="C43" s="4"/>
      <c r="D43" s="4"/>
      <c r="E43" s="4"/>
      <c r="F43" s="4"/>
      <c r="G43" s="4"/>
    </row>
    <row r="44" spans="1:7" ht="20" customHeight="1" x14ac:dyDescent="0.35">
      <c r="A44" s="4"/>
      <c r="B44" s="4"/>
      <c r="C44" s="4"/>
      <c r="D44" s="4"/>
      <c r="E44" s="4"/>
      <c r="F44" s="4"/>
      <c r="G44" s="4"/>
    </row>
    <row r="45" spans="1:7" ht="20" customHeight="1" x14ac:dyDescent="0.35">
      <c r="A45" s="4"/>
      <c r="B45" s="4"/>
      <c r="C45" s="4"/>
      <c r="D45" s="4"/>
      <c r="E45" s="4"/>
      <c r="F45" s="4"/>
      <c r="G45" s="4"/>
    </row>
    <row r="46" spans="1:7" ht="20" customHeight="1" x14ac:dyDescent="0.35">
      <c r="A46" s="4"/>
      <c r="B46" s="4"/>
      <c r="C46" s="4"/>
      <c r="D46" s="4"/>
      <c r="E46" s="4"/>
      <c r="F46" s="4"/>
      <c r="G46" s="4"/>
    </row>
    <row r="47" spans="1:7" ht="20" customHeight="1" x14ac:dyDescent="0.35">
      <c r="A47" s="4"/>
      <c r="B47" s="4"/>
      <c r="C47" s="4"/>
      <c r="D47" s="4"/>
      <c r="E47" s="4"/>
      <c r="F47" s="4"/>
      <c r="G47" s="4"/>
    </row>
    <row r="48" spans="1:7" ht="20" customHeight="1" x14ac:dyDescent="0.35">
      <c r="A48" s="4"/>
      <c r="B48" s="4"/>
      <c r="C48" s="4"/>
      <c r="D48" s="4"/>
      <c r="E48" s="4"/>
      <c r="F48" s="4"/>
      <c r="G48" s="4"/>
    </row>
    <row r="49" spans="1:7" ht="20" customHeight="1" x14ac:dyDescent="0.35">
      <c r="A49" s="4"/>
      <c r="B49" s="4"/>
      <c r="C49" s="4"/>
      <c r="D49" s="4"/>
      <c r="E49" s="4"/>
      <c r="F49" s="4"/>
      <c r="G49" s="4"/>
    </row>
    <row r="50" spans="1:7" ht="20" customHeight="1" x14ac:dyDescent="0.35">
      <c r="A50" s="4"/>
      <c r="B50" s="4"/>
      <c r="C50" s="4"/>
      <c r="D50" s="4"/>
      <c r="E50" s="4"/>
      <c r="F50" s="4"/>
      <c r="G50" s="4"/>
    </row>
    <row r="51" spans="1:7" ht="20" customHeight="1" x14ac:dyDescent="0.35">
      <c r="A51" s="4"/>
      <c r="B51" s="4"/>
      <c r="C51" s="4"/>
      <c r="D51" s="4"/>
      <c r="E51" s="4"/>
      <c r="F51" s="4"/>
      <c r="G51" s="4"/>
    </row>
    <row r="52" spans="1:7" ht="20" customHeight="1" x14ac:dyDescent="0.35">
      <c r="A52" s="4"/>
      <c r="B52" s="4"/>
      <c r="C52" s="4"/>
      <c r="D52" s="4"/>
      <c r="E52" s="4"/>
      <c r="F52" s="4"/>
      <c r="G52" s="4"/>
    </row>
    <row r="53" spans="1:7" ht="20" customHeight="1" x14ac:dyDescent="0.35">
      <c r="A53" s="4"/>
      <c r="B53" s="4"/>
      <c r="C53" s="4"/>
      <c r="D53" s="4"/>
      <c r="E53" s="4"/>
      <c r="F53" s="4"/>
      <c r="G53" s="4"/>
    </row>
    <row r="54" spans="1:7" ht="20" customHeight="1" x14ac:dyDescent="0.35">
      <c r="A54" s="4"/>
      <c r="B54" s="4"/>
      <c r="C54" s="4"/>
      <c r="D54" s="4"/>
      <c r="E54" s="4"/>
      <c r="F54" s="4"/>
      <c r="G54" s="4"/>
    </row>
    <row r="55" spans="1:7" ht="20" customHeight="1" x14ac:dyDescent="0.35">
      <c r="A55" s="4"/>
      <c r="B55" s="4"/>
      <c r="C55" s="4"/>
      <c r="D55" s="4"/>
      <c r="E55" s="4"/>
      <c r="F55" s="4"/>
      <c r="G55" s="4"/>
    </row>
    <row r="56" spans="1:7" ht="20" customHeight="1" x14ac:dyDescent="0.35">
      <c r="A56" s="4"/>
      <c r="B56" s="4"/>
      <c r="C56" s="4"/>
      <c r="D56" s="4"/>
      <c r="E56" s="4"/>
      <c r="F56" s="4"/>
      <c r="G56" s="4"/>
    </row>
    <row r="57" spans="1:7" ht="20" customHeight="1" x14ac:dyDescent="0.35">
      <c r="A57" s="4"/>
      <c r="B57" s="4"/>
      <c r="C57" s="4"/>
      <c r="D57" s="4"/>
      <c r="E57" s="4"/>
      <c r="F57" s="4"/>
      <c r="G57" s="4"/>
    </row>
    <row r="58" spans="1:7" ht="20" customHeight="1" x14ac:dyDescent="0.35">
      <c r="A58" s="4"/>
      <c r="B58" s="4"/>
      <c r="C58" s="4"/>
      <c r="D58" s="4"/>
      <c r="E58" s="4"/>
      <c r="F58" s="4"/>
      <c r="G58" s="4"/>
    </row>
    <row r="59" spans="1:7" ht="20" customHeight="1" x14ac:dyDescent="0.35">
      <c r="A59" s="4"/>
      <c r="B59" s="4"/>
      <c r="C59" s="4"/>
      <c r="D59" s="4"/>
      <c r="E59" s="4"/>
      <c r="F59" s="4"/>
      <c r="G59" s="4"/>
    </row>
    <row r="60" spans="1:7" ht="20" customHeight="1" x14ac:dyDescent="0.35">
      <c r="A60" s="4"/>
      <c r="B60" s="4"/>
      <c r="C60" s="4"/>
      <c r="D60" s="4"/>
      <c r="E60" s="4"/>
      <c r="F60" s="4"/>
      <c r="G60" s="4"/>
    </row>
    <row r="61" spans="1:7" ht="20" customHeight="1" x14ac:dyDescent="0.35">
      <c r="A61" s="4"/>
      <c r="B61" s="4"/>
      <c r="C61" s="4"/>
      <c r="D61" s="4"/>
      <c r="E61" s="4"/>
      <c r="F61" s="4"/>
      <c r="G61" s="4"/>
    </row>
    <row r="62" spans="1:7" ht="20" customHeight="1" x14ac:dyDescent="0.35">
      <c r="A62" s="4"/>
      <c r="B62" s="4"/>
      <c r="C62" s="4"/>
      <c r="D62" s="4"/>
      <c r="E62" s="4"/>
      <c r="F62" s="4"/>
      <c r="G62" s="4"/>
    </row>
    <row r="63" spans="1:7" ht="20" customHeight="1" x14ac:dyDescent="0.35">
      <c r="A63" s="4"/>
      <c r="B63" s="4"/>
      <c r="C63" s="4"/>
      <c r="D63" s="4"/>
      <c r="E63" s="4"/>
      <c r="F63" s="4"/>
      <c r="G63" s="4"/>
    </row>
    <row r="64" spans="1:7" ht="20" customHeight="1" x14ac:dyDescent="0.35">
      <c r="A64" s="4"/>
      <c r="B64" s="4"/>
      <c r="C64" s="4"/>
      <c r="D64" s="4"/>
      <c r="E64" s="4"/>
      <c r="F64" s="4"/>
      <c r="G64" s="4"/>
    </row>
    <row r="65" spans="1:7" ht="20" customHeight="1" x14ac:dyDescent="0.35">
      <c r="A65" s="4"/>
      <c r="B65" s="4"/>
      <c r="C65" s="4"/>
      <c r="D65" s="4"/>
      <c r="E65" s="4"/>
      <c r="F65" s="4"/>
      <c r="G65" s="4"/>
    </row>
    <row r="66" spans="1:7" ht="20" customHeight="1" x14ac:dyDescent="0.35">
      <c r="A66" s="4"/>
      <c r="B66" s="4"/>
      <c r="C66" s="4"/>
      <c r="D66" s="4"/>
      <c r="E66" s="4"/>
      <c r="F66" s="4"/>
      <c r="G66" s="4"/>
    </row>
    <row r="67" spans="1:7" ht="20" customHeight="1" x14ac:dyDescent="0.35">
      <c r="A67" s="4"/>
      <c r="B67" s="4"/>
      <c r="C67" s="4"/>
      <c r="D67" s="4"/>
      <c r="E67" s="4"/>
      <c r="F67" s="4"/>
      <c r="G67" s="4"/>
    </row>
    <row r="68" spans="1:7" ht="20" customHeight="1" x14ac:dyDescent="0.35">
      <c r="A68" s="4"/>
      <c r="B68" s="4"/>
      <c r="C68" s="4"/>
      <c r="D68" s="4"/>
      <c r="E68" s="4"/>
      <c r="F68" s="4"/>
      <c r="G68" s="4"/>
    </row>
    <row r="69" spans="1:7" ht="20" customHeight="1" x14ac:dyDescent="0.35">
      <c r="A69" s="4"/>
      <c r="B69" s="4"/>
      <c r="C69" s="4"/>
      <c r="D69" s="4"/>
      <c r="E69" s="4"/>
      <c r="F69" s="4"/>
      <c r="G69" s="4"/>
    </row>
    <row r="70" spans="1:7" ht="20" customHeight="1" x14ac:dyDescent="0.35">
      <c r="A70" s="4"/>
      <c r="B70" s="4"/>
      <c r="C70" s="4"/>
      <c r="D70" s="4"/>
      <c r="E70" s="4"/>
      <c r="F70" s="4"/>
      <c r="G70" s="4"/>
    </row>
    <row r="71" spans="1:7" ht="20" customHeight="1" x14ac:dyDescent="0.35">
      <c r="A71" s="4"/>
      <c r="B71" s="4"/>
      <c r="C71" s="4"/>
      <c r="D71" s="4"/>
      <c r="E71" s="4"/>
      <c r="F71" s="4"/>
      <c r="G71" s="4"/>
    </row>
    <row r="72" spans="1:7" ht="20" customHeight="1" x14ac:dyDescent="0.35">
      <c r="A72" s="4"/>
      <c r="B72" s="4"/>
      <c r="C72" s="4"/>
      <c r="D72" s="4"/>
      <c r="E72" s="4"/>
      <c r="F72" s="4"/>
      <c r="G72" s="4"/>
    </row>
    <row r="73" spans="1:7" ht="20" customHeight="1" x14ac:dyDescent="0.35">
      <c r="A73" s="4"/>
      <c r="B73" s="4"/>
      <c r="C73" s="4"/>
      <c r="D73" s="4"/>
      <c r="E73" s="4"/>
      <c r="F73" s="4"/>
      <c r="G73" s="4"/>
    </row>
    <row r="74" spans="1:7" ht="20" customHeight="1" x14ac:dyDescent="0.35">
      <c r="A74" s="4"/>
      <c r="B74" s="4"/>
      <c r="C74" s="4"/>
      <c r="D74" s="4"/>
      <c r="E74" s="4"/>
      <c r="F74" s="4"/>
      <c r="G74" s="4"/>
    </row>
    <row r="75" spans="1:7" ht="20" customHeight="1" x14ac:dyDescent="0.35">
      <c r="A75" s="4"/>
      <c r="B75" s="4"/>
      <c r="C75" s="4"/>
      <c r="D75" s="4"/>
      <c r="E75" s="4"/>
      <c r="F75" s="4"/>
      <c r="G75" s="4"/>
    </row>
    <row r="76" spans="1:7" ht="20" customHeight="1" x14ac:dyDescent="0.35">
      <c r="A76" s="4"/>
      <c r="B76" s="4"/>
      <c r="C76" s="4"/>
      <c r="D76" s="4"/>
      <c r="E76" s="4"/>
      <c r="F76" s="4"/>
      <c r="G76" s="4"/>
    </row>
    <row r="77" spans="1:7" ht="20" customHeight="1" x14ac:dyDescent="0.35">
      <c r="A77" s="4"/>
      <c r="B77" s="4"/>
      <c r="C77" s="4"/>
      <c r="D77" s="4"/>
      <c r="E77" s="4"/>
      <c r="F77" s="4"/>
      <c r="G77" s="4"/>
    </row>
    <row r="78" spans="1:7" ht="20" customHeight="1" x14ac:dyDescent="0.35">
      <c r="A78" s="4"/>
      <c r="B78" s="4"/>
      <c r="C78" s="4"/>
      <c r="D78" s="4"/>
      <c r="E78" s="4"/>
      <c r="F78" s="4"/>
      <c r="G78" s="4"/>
    </row>
    <row r="79" spans="1:7" ht="20" customHeight="1" x14ac:dyDescent="0.35">
      <c r="A79" s="4"/>
      <c r="B79" s="4"/>
      <c r="C79" s="4"/>
      <c r="D79" s="4"/>
      <c r="E79" s="4"/>
      <c r="F79" s="4"/>
      <c r="G79" s="4"/>
    </row>
    <row r="80" spans="1:7" ht="20" customHeight="1" x14ac:dyDescent="0.35">
      <c r="A80" s="4"/>
      <c r="B80" s="4"/>
      <c r="C80" s="4"/>
      <c r="D80" s="4"/>
      <c r="E80" s="4"/>
      <c r="F80" s="4"/>
      <c r="G80" s="4"/>
    </row>
    <row r="81" spans="1:7" ht="20" customHeight="1" x14ac:dyDescent="0.35">
      <c r="A81" s="4"/>
      <c r="B81" s="4"/>
      <c r="C81" s="4"/>
      <c r="D81" s="4"/>
      <c r="E81" s="4"/>
      <c r="F81" s="4"/>
      <c r="G81" s="4"/>
    </row>
  </sheetData>
  <mergeCells count="2">
    <mergeCell ref="A3:G3"/>
    <mergeCell ref="A1:G2"/>
  </mergeCells>
  <printOptions horizontalCentered="1"/>
  <pageMargins left="0.25" right="0.25" top="0.35" bottom="0.35" header="0.5" footer="0.5"/>
  <pageSetup paperSize="8" orientation="landscape"/>
  <headerFooter>
    <oddFooter>&amp;C&amp;9 Retail Sales Analysis | &amp;A | Page &amp;P of &amp;N</oddFooter>
  </headerFooter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7E8B"/>
    <outlinePr summaryRight="0"/>
    <pageSetUpPr fitToPage="1"/>
  </sheetPr>
  <dimension ref="A1:L81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sqref="A1:G2"/>
    </sheetView>
  </sheetViews>
  <sheetFormatPr defaultRowHeight="14.5" x14ac:dyDescent="0.35"/>
  <cols>
    <col min="1" max="1" width="25" customWidth="1"/>
    <col min="2" max="2" width="22" customWidth="1"/>
    <col min="3" max="3" width="19" customWidth="1"/>
    <col min="4" max="4" width="20" customWidth="1"/>
    <col min="5" max="5" width="17" customWidth="1"/>
    <col min="6" max="6" width="3" customWidth="1"/>
    <col min="7" max="7" width="16" customWidth="1"/>
    <col min="8" max="8" width="3" customWidth="1"/>
    <col min="9" max="9" width="25.6328125" customWidth="1"/>
    <col min="10" max="10" width="24.6328125" customWidth="1"/>
    <col min="11" max="11" width="26.6328125" customWidth="1"/>
    <col min="12" max="12" width="3.6328125" customWidth="1"/>
  </cols>
  <sheetData>
    <row r="1" spans="1:12" ht="28" customHeight="1" x14ac:dyDescent="0.35">
      <c r="A1" s="1" t="s">
        <v>75</v>
      </c>
      <c r="B1" s="2"/>
      <c r="C1" s="2"/>
      <c r="D1" s="2"/>
      <c r="E1" s="2"/>
      <c r="F1" s="2"/>
      <c r="G1" s="2"/>
      <c r="H1" s="4"/>
      <c r="I1" s="4"/>
      <c r="J1" s="4"/>
      <c r="K1" s="4"/>
      <c r="L1" s="4"/>
    </row>
    <row r="2" spans="1:12" ht="14" customHeight="1" x14ac:dyDescent="0.35">
      <c r="A2" s="2"/>
      <c r="B2" s="2"/>
      <c r="C2" s="2"/>
      <c r="D2" s="2"/>
      <c r="E2" s="2"/>
      <c r="F2" s="2"/>
      <c r="G2" s="2"/>
      <c r="H2" s="4"/>
      <c r="I2" s="17" t="s">
        <v>76</v>
      </c>
      <c r="J2" s="2"/>
      <c r="K2" s="2"/>
      <c r="L2" s="2"/>
    </row>
    <row r="3" spans="1:12" ht="34" customHeight="1" x14ac:dyDescent="0.35">
      <c r="A3" s="15" t="s">
        <v>77</v>
      </c>
      <c r="B3" s="2"/>
      <c r="C3" s="2"/>
      <c r="D3" s="2"/>
      <c r="E3" s="2"/>
      <c r="F3" s="2"/>
      <c r="G3" s="2"/>
      <c r="H3" s="4"/>
      <c r="I3" s="2"/>
      <c r="J3" s="2"/>
      <c r="K3" s="2"/>
      <c r="L3" s="2"/>
    </row>
    <row r="4" spans="1:12" ht="20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32" customHeight="1" x14ac:dyDescent="0.35">
      <c r="A5" s="5" t="s">
        <v>78</v>
      </c>
      <c r="B5" s="5" t="s">
        <v>32</v>
      </c>
      <c r="C5" s="5" t="s">
        <v>33</v>
      </c>
      <c r="D5" s="5" t="s">
        <v>34</v>
      </c>
      <c r="E5" s="5" t="s">
        <v>79</v>
      </c>
      <c r="F5" s="4"/>
      <c r="G5" s="4"/>
      <c r="H5" s="4"/>
      <c r="I5" s="32" t="s">
        <v>78</v>
      </c>
      <c r="J5" s="33" t="s">
        <v>225</v>
      </c>
      <c r="K5" s="33" t="s">
        <v>226</v>
      </c>
      <c r="L5" s="4"/>
    </row>
    <row r="6" spans="1:12" ht="16" customHeight="1" x14ac:dyDescent="0.35">
      <c r="A6" s="6" t="s">
        <v>80</v>
      </c>
      <c r="B6" s="8">
        <v>8724443.6699999999</v>
      </c>
      <c r="C6" s="11">
        <v>17901</v>
      </c>
      <c r="D6" s="7">
        <f t="shared" ref="D6:D43" si="0">ROUND(B6/C6,2)</f>
        <v>487.37</v>
      </c>
      <c r="E6" s="12">
        <f>B6/Overview!$B$7</f>
        <v>0.85139620784460768</v>
      </c>
      <c r="F6" s="4"/>
      <c r="G6" s="4"/>
      <c r="H6" s="4"/>
      <c r="I6" s="28" t="s">
        <v>80</v>
      </c>
      <c r="J6" s="30">
        <v>8724443.6699999999</v>
      </c>
      <c r="K6" s="31">
        <v>17901</v>
      </c>
      <c r="L6" s="4"/>
    </row>
    <row r="7" spans="1:12" ht="16" customHeight="1" x14ac:dyDescent="0.35">
      <c r="A7" s="6" t="s">
        <v>81</v>
      </c>
      <c r="B7" s="8">
        <v>283889.34000000003</v>
      </c>
      <c r="C7" s="11">
        <v>93</v>
      </c>
      <c r="D7" s="7">
        <f t="shared" si="0"/>
        <v>3052.57</v>
      </c>
      <c r="E7" s="12">
        <f>B7/Overview!$B$7</f>
        <v>2.7704036688852681E-2</v>
      </c>
      <c r="F7" s="4"/>
      <c r="G7" s="4"/>
      <c r="H7" s="4"/>
      <c r="I7" s="28" t="s">
        <v>81</v>
      </c>
      <c r="J7" s="30">
        <v>283889.34000000003</v>
      </c>
      <c r="K7" s="31">
        <v>93</v>
      </c>
      <c r="L7" s="4"/>
    </row>
    <row r="8" spans="1:12" ht="16" customHeight="1" x14ac:dyDescent="0.35">
      <c r="A8" s="6" t="s">
        <v>82</v>
      </c>
      <c r="B8" s="8">
        <v>270850.86</v>
      </c>
      <c r="C8" s="11">
        <v>282</v>
      </c>
      <c r="D8" s="7">
        <f t="shared" si="0"/>
        <v>960.46</v>
      </c>
      <c r="E8" s="12">
        <f>B8/Overview!$B$7</f>
        <v>2.6431644677631431E-2</v>
      </c>
      <c r="F8" s="4"/>
      <c r="G8" s="4"/>
      <c r="H8" s="4"/>
      <c r="I8" s="28" t="s">
        <v>82</v>
      </c>
      <c r="J8" s="30">
        <v>270850.86</v>
      </c>
      <c r="K8" s="31">
        <v>282</v>
      </c>
      <c r="L8" s="4"/>
    </row>
    <row r="9" spans="1:12" ht="16" customHeight="1" x14ac:dyDescent="0.35">
      <c r="A9" s="6" t="s">
        <v>83</v>
      </c>
      <c r="B9" s="8">
        <v>205381.15</v>
      </c>
      <c r="C9" s="11">
        <v>443</v>
      </c>
      <c r="D9" s="7">
        <f t="shared" si="0"/>
        <v>463.61</v>
      </c>
      <c r="E9" s="12">
        <f>B9/Overview!$B$7</f>
        <v>2.0042622645847691E-2</v>
      </c>
      <c r="F9" s="4"/>
      <c r="G9" s="4"/>
      <c r="H9" s="4"/>
      <c r="I9" s="28" t="s">
        <v>83</v>
      </c>
      <c r="J9" s="30">
        <v>205381.15</v>
      </c>
      <c r="K9" s="31">
        <v>443</v>
      </c>
      <c r="L9" s="4"/>
    </row>
    <row r="10" spans="1:12" ht="16" customHeight="1" x14ac:dyDescent="0.35">
      <c r="A10" s="6" t="s">
        <v>84</v>
      </c>
      <c r="B10" s="8">
        <v>184493</v>
      </c>
      <c r="C10" s="11">
        <v>382</v>
      </c>
      <c r="D10" s="7">
        <f t="shared" si="0"/>
        <v>482.97</v>
      </c>
      <c r="E10" s="12">
        <f>B10/Overview!$B$7</f>
        <v>1.800420135830566E-2</v>
      </c>
      <c r="F10" s="4"/>
      <c r="G10" s="4"/>
      <c r="H10" s="4"/>
      <c r="I10" s="28" t="s">
        <v>84</v>
      </c>
      <c r="J10" s="30">
        <v>184493</v>
      </c>
      <c r="K10" s="31">
        <v>382</v>
      </c>
      <c r="L10" s="4"/>
    </row>
    <row r="11" spans="1:12" ht="16" customHeight="1" x14ac:dyDescent="0.35">
      <c r="A11" s="6" t="s">
        <v>85</v>
      </c>
      <c r="B11" s="8">
        <v>138103.81</v>
      </c>
      <c r="C11" s="11">
        <v>56</v>
      </c>
      <c r="D11" s="7">
        <f t="shared" si="0"/>
        <v>2466.14</v>
      </c>
      <c r="E11" s="12">
        <f>B11/Overview!$B$7</f>
        <v>1.3477198612354867E-2</v>
      </c>
      <c r="F11" s="4"/>
      <c r="G11" s="4"/>
      <c r="H11" s="4"/>
      <c r="I11" s="28" t="s">
        <v>85</v>
      </c>
      <c r="J11" s="30">
        <v>138103.81</v>
      </c>
      <c r="K11" s="31">
        <v>56</v>
      </c>
      <c r="L11" s="4"/>
    </row>
    <row r="12" spans="1:12" ht="16" customHeight="1" x14ac:dyDescent="0.35">
      <c r="A12" s="6" t="s">
        <v>86</v>
      </c>
      <c r="B12" s="8">
        <v>55706.559999999998</v>
      </c>
      <c r="C12" s="11">
        <v>88</v>
      </c>
      <c r="D12" s="7">
        <f t="shared" si="0"/>
        <v>633.03</v>
      </c>
      <c r="E12" s="12">
        <f>B12/Overview!$B$7</f>
        <v>5.4362611222026616E-3</v>
      </c>
      <c r="F12" s="4"/>
      <c r="G12" s="4"/>
      <c r="H12" s="4"/>
      <c r="I12" s="28" t="s">
        <v>86</v>
      </c>
      <c r="J12" s="30">
        <v>55706.559999999998</v>
      </c>
      <c r="K12" s="31">
        <v>88</v>
      </c>
      <c r="L12" s="4"/>
    </row>
    <row r="13" spans="1:12" ht="16" customHeight="1" x14ac:dyDescent="0.35">
      <c r="A13" s="6" t="s">
        <v>87</v>
      </c>
      <c r="B13" s="8">
        <v>53065.599999999999</v>
      </c>
      <c r="C13" s="11">
        <v>50</v>
      </c>
      <c r="D13" s="7">
        <f t="shared" si="0"/>
        <v>1061.31</v>
      </c>
      <c r="E13" s="12">
        <f>B13/Overview!$B$7</f>
        <v>5.178536571031447E-3</v>
      </c>
      <c r="F13" s="4"/>
      <c r="G13" s="4"/>
      <c r="H13" s="4"/>
      <c r="I13" s="28" t="s">
        <v>87</v>
      </c>
      <c r="J13" s="30">
        <v>53065.599999999999</v>
      </c>
      <c r="K13" s="31">
        <v>50</v>
      </c>
      <c r="L13" s="4"/>
    </row>
    <row r="14" spans="1:12" ht="16" customHeight="1" x14ac:dyDescent="0.35">
      <c r="A14" s="6" t="s">
        <v>88</v>
      </c>
      <c r="B14" s="8">
        <v>37416.370000000003</v>
      </c>
      <c r="C14" s="11">
        <v>19</v>
      </c>
      <c r="D14" s="7">
        <f t="shared" si="0"/>
        <v>1969.28</v>
      </c>
      <c r="E14" s="12">
        <f>B14/Overview!$B$7</f>
        <v>3.6513681254945565E-3</v>
      </c>
      <c r="F14" s="4"/>
      <c r="G14" s="4"/>
      <c r="H14" s="4"/>
      <c r="I14" s="28" t="s">
        <v>88</v>
      </c>
      <c r="J14" s="30">
        <v>37416.370000000003</v>
      </c>
      <c r="K14" s="31">
        <v>19</v>
      </c>
      <c r="L14" s="4"/>
    </row>
    <row r="15" spans="1:12" ht="16" customHeight="1" x14ac:dyDescent="0.35">
      <c r="A15" s="6" t="s">
        <v>89</v>
      </c>
      <c r="B15" s="8">
        <v>36927.339999999997</v>
      </c>
      <c r="C15" s="11">
        <v>98</v>
      </c>
      <c r="D15" s="7">
        <f t="shared" si="0"/>
        <v>376.81</v>
      </c>
      <c r="E15" s="12">
        <f>B15/Overview!$B$7</f>
        <v>3.6036449349656349E-3</v>
      </c>
      <c r="F15" s="4"/>
      <c r="G15" s="4"/>
      <c r="H15" s="4"/>
      <c r="I15" s="28" t="s">
        <v>89</v>
      </c>
      <c r="J15" s="30">
        <v>36927.339999999997</v>
      </c>
      <c r="K15" s="31">
        <v>98</v>
      </c>
      <c r="L15" s="4"/>
    </row>
    <row r="16" spans="1:12" ht="16" customHeight="1" x14ac:dyDescent="0.35">
      <c r="A16" s="6" t="s">
        <v>90</v>
      </c>
      <c r="B16" s="8">
        <v>36828.83</v>
      </c>
      <c r="C16" s="11">
        <v>34</v>
      </c>
      <c r="D16" s="7">
        <f t="shared" si="0"/>
        <v>1083.2</v>
      </c>
      <c r="E16" s="12">
        <f>B16/Overview!$B$7</f>
        <v>3.594031595295259E-3</v>
      </c>
      <c r="F16" s="4"/>
      <c r="G16" s="4"/>
      <c r="H16" s="4"/>
      <c r="I16" s="28" t="s">
        <v>90</v>
      </c>
      <c r="J16" s="30">
        <v>36828.83</v>
      </c>
      <c r="K16" s="31">
        <v>34</v>
      </c>
      <c r="L16" s="4"/>
    </row>
    <row r="17" spans="1:12" ht="16" customHeight="1" x14ac:dyDescent="0.35">
      <c r="A17" s="6" t="s">
        <v>91</v>
      </c>
      <c r="B17" s="8">
        <v>32454.639999999999</v>
      </c>
      <c r="C17" s="11">
        <v>32</v>
      </c>
      <c r="D17" s="7">
        <f t="shared" si="0"/>
        <v>1014.21</v>
      </c>
      <c r="E17" s="12">
        <f>B17/Overview!$B$7</f>
        <v>3.1671655486729643E-3</v>
      </c>
      <c r="F17" s="4"/>
      <c r="G17" s="4"/>
      <c r="H17" s="4"/>
      <c r="I17" s="28" t="s">
        <v>91</v>
      </c>
      <c r="J17" s="30">
        <v>32454.639999999999</v>
      </c>
      <c r="K17" s="31">
        <v>32</v>
      </c>
      <c r="L17" s="4"/>
    </row>
    <row r="18" spans="1:12" ht="16" customHeight="1" x14ac:dyDescent="0.35">
      <c r="A18" s="6" t="s">
        <v>92</v>
      </c>
      <c r="B18" s="8">
        <v>26951.11</v>
      </c>
      <c r="C18" s="11">
        <v>50</v>
      </c>
      <c r="D18" s="7">
        <f t="shared" si="0"/>
        <v>539.02</v>
      </c>
      <c r="E18" s="12">
        <f>B18/Overview!$B$7</f>
        <v>2.6300900916015526E-3</v>
      </c>
      <c r="F18" s="4"/>
      <c r="G18" s="4"/>
      <c r="H18" s="4"/>
      <c r="I18" s="28" t="s">
        <v>92</v>
      </c>
      <c r="J18" s="30">
        <v>26951.11</v>
      </c>
      <c r="K18" s="31">
        <v>50</v>
      </c>
      <c r="L18" s="4"/>
    </row>
    <row r="19" spans="1:12" ht="16" customHeight="1" x14ac:dyDescent="0.35">
      <c r="A19" s="6" t="s">
        <v>93</v>
      </c>
      <c r="B19" s="8">
        <v>19997.54</v>
      </c>
      <c r="C19" s="11">
        <v>25</v>
      </c>
      <c r="D19" s="7">
        <f t="shared" si="0"/>
        <v>799.9</v>
      </c>
      <c r="E19" s="12">
        <f>B19/Overview!$B$7</f>
        <v>1.9515089289608373E-3</v>
      </c>
      <c r="F19" s="4"/>
      <c r="G19" s="4"/>
      <c r="H19" s="4"/>
      <c r="I19" s="28" t="s">
        <v>93</v>
      </c>
      <c r="J19" s="30">
        <v>19997.54</v>
      </c>
      <c r="K19" s="31">
        <v>25</v>
      </c>
      <c r="L19" s="4"/>
    </row>
    <row r="20" spans="1:12" ht="16" customHeight="1" x14ac:dyDescent="0.35">
      <c r="A20" s="6" t="s">
        <v>94</v>
      </c>
      <c r="B20" s="8">
        <v>18344.88</v>
      </c>
      <c r="C20" s="11">
        <v>40</v>
      </c>
      <c r="D20" s="7">
        <f t="shared" si="0"/>
        <v>458.62</v>
      </c>
      <c r="E20" s="12">
        <f>B20/Overview!$B$7</f>
        <v>1.7902300543324373E-3</v>
      </c>
      <c r="F20" s="4"/>
      <c r="G20" s="4"/>
      <c r="H20" s="4"/>
      <c r="I20" s="28" t="s">
        <v>94</v>
      </c>
      <c r="J20" s="30">
        <v>18344.88</v>
      </c>
      <c r="K20" s="31">
        <v>40</v>
      </c>
      <c r="L20" s="4"/>
    </row>
    <row r="21" spans="1:12" ht="16" customHeight="1" x14ac:dyDescent="0.35">
      <c r="A21" s="6" t="s">
        <v>95</v>
      </c>
      <c r="B21" s="8">
        <v>18211.34</v>
      </c>
      <c r="C21" s="11">
        <v>18</v>
      </c>
      <c r="D21" s="7">
        <f t="shared" si="0"/>
        <v>1011.74</v>
      </c>
      <c r="E21" s="12">
        <f>B21/Overview!$B$7</f>
        <v>1.7771982262989176E-3</v>
      </c>
      <c r="F21" s="4"/>
      <c r="G21" s="4"/>
      <c r="H21" s="4"/>
      <c r="I21" s="28" t="s">
        <v>95</v>
      </c>
      <c r="J21" s="30">
        <v>18211.34</v>
      </c>
      <c r="K21" s="31">
        <v>18</v>
      </c>
      <c r="L21" s="4"/>
    </row>
    <row r="22" spans="1:12" ht="16" customHeight="1" x14ac:dyDescent="0.35">
      <c r="A22" s="6" t="s">
        <v>96</v>
      </c>
      <c r="B22" s="8">
        <v>15820.24</v>
      </c>
      <c r="C22" s="11">
        <v>35</v>
      </c>
      <c r="D22" s="7">
        <f t="shared" si="0"/>
        <v>452.01</v>
      </c>
      <c r="E22" s="12">
        <f>B22/Overview!$B$7</f>
        <v>1.5438568753108331E-3</v>
      </c>
      <c r="F22" s="4"/>
      <c r="G22" s="4"/>
      <c r="H22" s="4"/>
      <c r="I22" s="28" t="s">
        <v>96</v>
      </c>
      <c r="J22" s="30">
        <v>15820.24</v>
      </c>
      <c r="K22" s="31">
        <v>35</v>
      </c>
      <c r="L22" s="4"/>
    </row>
    <row r="23" spans="1:12" ht="16" customHeight="1" x14ac:dyDescent="0.35">
      <c r="A23" s="6" t="s">
        <v>97</v>
      </c>
      <c r="B23" s="8">
        <v>13167.16</v>
      </c>
      <c r="C23" s="11">
        <v>14</v>
      </c>
      <c r="D23" s="7">
        <f t="shared" si="0"/>
        <v>940.51</v>
      </c>
      <c r="E23" s="12">
        <f>B23/Overview!$B$7</f>
        <v>1.2849495642492015E-3</v>
      </c>
      <c r="F23" s="4"/>
      <c r="G23" s="4"/>
      <c r="H23" s="4"/>
      <c r="I23" s="28" t="s">
        <v>97</v>
      </c>
      <c r="J23" s="30">
        <v>13167.16</v>
      </c>
      <c r="K23" s="31">
        <v>14</v>
      </c>
      <c r="L23" s="4"/>
    </row>
    <row r="24" spans="1:12" ht="16" customHeight="1" x14ac:dyDescent="0.35">
      <c r="A24" s="6" t="s">
        <v>98</v>
      </c>
      <c r="B24" s="8">
        <v>9744.19</v>
      </c>
      <c r="C24" s="11">
        <v>7</v>
      </c>
      <c r="D24" s="7">
        <f t="shared" si="0"/>
        <v>1392.03</v>
      </c>
      <c r="E24" s="12">
        <f>B24/Overview!$B$7</f>
        <v>9.5091065153468386E-4</v>
      </c>
      <c r="F24" s="4"/>
      <c r="G24" s="4"/>
      <c r="H24" s="4"/>
      <c r="I24" s="28" t="s">
        <v>98</v>
      </c>
      <c r="J24" s="30">
        <v>9744.19</v>
      </c>
      <c r="K24" s="31">
        <v>7</v>
      </c>
      <c r="L24" s="4"/>
    </row>
    <row r="25" spans="1:12" ht="16" customHeight="1" x14ac:dyDescent="0.35">
      <c r="A25" s="6" t="s">
        <v>99</v>
      </c>
      <c r="B25" s="8">
        <v>9120.39</v>
      </c>
      <c r="C25" s="11">
        <v>4</v>
      </c>
      <c r="D25" s="7">
        <f t="shared" si="0"/>
        <v>2280.1</v>
      </c>
      <c r="E25" s="12">
        <f>B25/Overview!$B$7</f>
        <v>8.9003560040910683E-4</v>
      </c>
      <c r="F25" s="4"/>
      <c r="G25" s="4"/>
      <c r="H25" s="4"/>
      <c r="I25" s="28" t="s">
        <v>99</v>
      </c>
      <c r="J25" s="30">
        <v>9120.39</v>
      </c>
      <c r="K25" s="31">
        <v>4</v>
      </c>
      <c r="L25" s="4"/>
    </row>
    <row r="26" spans="1:12" ht="16" customHeight="1" x14ac:dyDescent="0.35">
      <c r="A26" s="6" t="s">
        <v>100</v>
      </c>
      <c r="B26" s="8">
        <v>8742.68</v>
      </c>
      <c r="C26" s="11">
        <v>17</v>
      </c>
      <c r="D26" s="7">
        <f t="shared" si="0"/>
        <v>514.28</v>
      </c>
      <c r="E26" s="12">
        <f>B26/Overview!$B$7</f>
        <v>8.5317584478127474E-4</v>
      </c>
      <c r="F26" s="4"/>
      <c r="G26" s="4"/>
      <c r="H26" s="4"/>
      <c r="I26" s="28" t="s">
        <v>100</v>
      </c>
      <c r="J26" s="30">
        <v>8742.68</v>
      </c>
      <c r="K26" s="31">
        <v>17</v>
      </c>
      <c r="L26" s="4"/>
    </row>
    <row r="27" spans="1:12" ht="16" customHeight="1" x14ac:dyDescent="0.35">
      <c r="A27" s="6" t="s">
        <v>101</v>
      </c>
      <c r="B27" s="8">
        <v>8129.41</v>
      </c>
      <c r="C27" s="11">
        <v>8</v>
      </c>
      <c r="D27" s="7">
        <f t="shared" si="0"/>
        <v>1016.18</v>
      </c>
      <c r="E27" s="12">
        <f>B27/Overview!$B$7</f>
        <v>7.9332838950108464E-4</v>
      </c>
      <c r="F27" s="4"/>
      <c r="G27" s="4"/>
      <c r="H27" s="4"/>
      <c r="I27" s="28" t="s">
        <v>101</v>
      </c>
      <c r="J27" s="30">
        <v>8129.41</v>
      </c>
      <c r="K27" s="31">
        <v>8</v>
      </c>
      <c r="L27" s="4"/>
    </row>
    <row r="28" spans="1:12" ht="16" customHeight="1" x14ac:dyDescent="0.35">
      <c r="A28" s="6" t="s">
        <v>102</v>
      </c>
      <c r="B28" s="8">
        <v>6974.65</v>
      </c>
      <c r="C28" s="11">
        <v>19</v>
      </c>
      <c r="D28" s="7">
        <f t="shared" si="0"/>
        <v>367.09</v>
      </c>
      <c r="E28" s="12">
        <f>B28/Overview!$B$7</f>
        <v>6.8063830608048302E-4</v>
      </c>
      <c r="F28" s="4"/>
      <c r="G28" s="4"/>
      <c r="H28" s="4"/>
      <c r="I28" s="28" t="s">
        <v>102</v>
      </c>
      <c r="J28" s="30">
        <v>6974.65</v>
      </c>
      <c r="K28" s="31">
        <v>19</v>
      </c>
      <c r="L28" s="4"/>
    </row>
    <row r="29" spans="1:12" ht="16" customHeight="1" x14ac:dyDescent="0.35">
      <c r="A29" s="6" t="s">
        <v>103</v>
      </c>
      <c r="B29" s="8">
        <v>4740.9399999999996</v>
      </c>
      <c r="C29" s="11">
        <v>13</v>
      </c>
      <c r="D29" s="7">
        <f t="shared" si="0"/>
        <v>364.69</v>
      </c>
      <c r="E29" s="12">
        <f>B29/Overview!$B$7</f>
        <v>4.6265624380136715E-4</v>
      </c>
      <c r="F29" s="4"/>
      <c r="G29" s="4"/>
      <c r="H29" s="4"/>
      <c r="I29" s="28" t="s">
        <v>103</v>
      </c>
      <c r="J29" s="30">
        <v>4740.9399999999996</v>
      </c>
      <c r="K29" s="31">
        <v>13</v>
      </c>
      <c r="L29" s="4"/>
    </row>
    <row r="30" spans="1:12" ht="16" customHeight="1" x14ac:dyDescent="0.35">
      <c r="A30" s="6" t="s">
        <v>104</v>
      </c>
      <c r="B30" s="8">
        <v>4425.5200000000004</v>
      </c>
      <c r="C30" s="11">
        <v>5</v>
      </c>
      <c r="D30" s="7">
        <f t="shared" si="0"/>
        <v>885.1</v>
      </c>
      <c r="E30" s="12">
        <f>B30/Overview!$B$7</f>
        <v>4.3187521041561941E-4</v>
      </c>
      <c r="F30" s="4"/>
      <c r="G30" s="4"/>
      <c r="H30" s="4"/>
      <c r="I30" s="28" t="s">
        <v>104</v>
      </c>
      <c r="J30" s="30">
        <v>4425.5200000000004</v>
      </c>
      <c r="K30" s="31">
        <v>5</v>
      </c>
      <c r="L30" s="4"/>
    </row>
    <row r="31" spans="1:12" ht="16" customHeight="1" x14ac:dyDescent="0.35">
      <c r="A31" s="6" t="s">
        <v>105</v>
      </c>
      <c r="B31" s="8">
        <v>4310</v>
      </c>
      <c r="C31" s="11">
        <v>7</v>
      </c>
      <c r="D31" s="7">
        <f t="shared" si="0"/>
        <v>615.71</v>
      </c>
      <c r="E31" s="12">
        <f>B31/Overview!$B$7</f>
        <v>4.206019082257722E-4</v>
      </c>
      <c r="F31" s="4"/>
      <c r="G31" s="4"/>
      <c r="H31" s="4"/>
      <c r="I31" s="28" t="s">
        <v>105</v>
      </c>
      <c r="J31" s="30">
        <v>4310</v>
      </c>
      <c r="K31" s="31">
        <v>7</v>
      </c>
      <c r="L31" s="4"/>
    </row>
    <row r="32" spans="1:12" ht="16" customHeight="1" x14ac:dyDescent="0.35">
      <c r="A32" s="6" t="s">
        <v>106</v>
      </c>
      <c r="B32" s="8">
        <v>3580.39</v>
      </c>
      <c r="C32" s="11">
        <v>5</v>
      </c>
      <c r="D32" s="7">
        <f t="shared" si="0"/>
        <v>716.08</v>
      </c>
      <c r="E32" s="12">
        <f>B32/Overview!$B$7</f>
        <v>3.4940112904697737E-4</v>
      </c>
      <c r="F32" s="4"/>
      <c r="G32" s="4"/>
      <c r="H32" s="4"/>
      <c r="I32" s="28" t="s">
        <v>106</v>
      </c>
      <c r="J32" s="30">
        <v>3580.39</v>
      </c>
      <c r="K32" s="31">
        <v>5</v>
      </c>
      <c r="L32" s="4"/>
    </row>
    <row r="33" spans="1:12" ht="16" customHeight="1" x14ac:dyDescent="0.35">
      <c r="A33" s="6" t="s">
        <v>107</v>
      </c>
      <c r="B33" s="8">
        <v>3115.44</v>
      </c>
      <c r="C33" s="11">
        <v>5</v>
      </c>
      <c r="D33" s="7">
        <f t="shared" si="0"/>
        <v>623.09</v>
      </c>
      <c r="E33" s="12">
        <f>B33/Overview!$B$7</f>
        <v>3.0402784430693731E-4</v>
      </c>
      <c r="F33" s="4"/>
      <c r="G33" s="4"/>
      <c r="H33" s="4"/>
      <c r="I33" s="28" t="s">
        <v>107</v>
      </c>
      <c r="J33" s="30">
        <v>3115.44</v>
      </c>
      <c r="K33" s="31">
        <v>5</v>
      </c>
      <c r="L33" s="4"/>
    </row>
    <row r="34" spans="1:12" ht="16" customHeight="1" x14ac:dyDescent="0.35">
      <c r="A34" s="6" t="s">
        <v>108</v>
      </c>
      <c r="B34" s="8">
        <v>2070.59</v>
      </c>
      <c r="C34" s="11">
        <v>5</v>
      </c>
      <c r="D34" s="7">
        <f t="shared" si="0"/>
        <v>414.12</v>
      </c>
      <c r="E34" s="12">
        <f>B34/Overview!$B$7</f>
        <v>2.0206359748334147E-4</v>
      </c>
      <c r="F34" s="4"/>
      <c r="G34" s="4"/>
      <c r="H34" s="4"/>
      <c r="I34" s="28" t="s">
        <v>108</v>
      </c>
      <c r="J34" s="30">
        <v>2070.59</v>
      </c>
      <c r="K34" s="31">
        <v>5</v>
      </c>
      <c r="L34" s="4"/>
    </row>
    <row r="35" spans="1:12" ht="16" customHeight="1" x14ac:dyDescent="0.35">
      <c r="A35" s="6" t="s">
        <v>109</v>
      </c>
      <c r="B35" s="8">
        <v>1864.78</v>
      </c>
      <c r="C35" s="11">
        <v>2</v>
      </c>
      <c r="D35" s="7">
        <f t="shared" si="0"/>
        <v>932.39</v>
      </c>
      <c r="E35" s="12">
        <f>B35/Overview!$B$7</f>
        <v>1.8197912445968805E-4</v>
      </c>
      <c r="F35" s="4"/>
      <c r="G35" s="4"/>
      <c r="H35" s="4"/>
      <c r="I35" s="28" t="s">
        <v>109</v>
      </c>
      <c r="J35" s="30">
        <v>1864.78</v>
      </c>
      <c r="K35" s="31">
        <v>2</v>
      </c>
      <c r="L35" s="4"/>
    </row>
    <row r="36" spans="1:12" ht="16" customHeight="1" x14ac:dyDescent="0.35">
      <c r="A36" s="6" t="s">
        <v>110</v>
      </c>
      <c r="B36" s="8">
        <v>1693.88</v>
      </c>
      <c r="C36" s="11">
        <v>1</v>
      </c>
      <c r="D36" s="7">
        <f t="shared" si="0"/>
        <v>1693.88</v>
      </c>
      <c r="E36" s="12">
        <f>B36/Overview!$B$7</f>
        <v>1.6530142930521371E-4</v>
      </c>
      <c r="F36" s="4"/>
      <c r="G36" s="4"/>
      <c r="H36" s="4"/>
      <c r="I36" s="28" t="s">
        <v>110</v>
      </c>
      <c r="J36" s="30">
        <v>1693.88</v>
      </c>
      <c r="K36" s="31">
        <v>1</v>
      </c>
      <c r="L36" s="4"/>
    </row>
    <row r="37" spans="1:12" ht="16" customHeight="1" x14ac:dyDescent="0.35">
      <c r="A37" s="6" t="s">
        <v>111</v>
      </c>
      <c r="B37" s="8">
        <v>1661.06</v>
      </c>
      <c r="C37" s="11">
        <v>4</v>
      </c>
      <c r="D37" s="7">
        <f t="shared" si="0"/>
        <v>415.27</v>
      </c>
      <c r="E37" s="12">
        <f>B37/Overview!$B$7</f>
        <v>1.6209860920591673E-4</v>
      </c>
      <c r="F37" s="4"/>
      <c r="G37" s="4"/>
      <c r="H37" s="4"/>
      <c r="I37" s="28" t="s">
        <v>111</v>
      </c>
      <c r="J37" s="30">
        <v>1661.06</v>
      </c>
      <c r="K37" s="31">
        <v>4</v>
      </c>
      <c r="L37" s="4"/>
    </row>
    <row r="38" spans="1:12" ht="16" customHeight="1" x14ac:dyDescent="0.35">
      <c r="A38" s="6" t="s">
        <v>112</v>
      </c>
      <c r="B38" s="8">
        <v>1159.25</v>
      </c>
      <c r="C38" s="11">
        <v>3</v>
      </c>
      <c r="D38" s="7">
        <f t="shared" si="0"/>
        <v>386.42</v>
      </c>
      <c r="E38" s="12">
        <f>B38/Overview!$B$7</f>
        <v>1.1312825106977412E-4</v>
      </c>
      <c r="F38" s="4"/>
      <c r="G38" s="4"/>
      <c r="H38" s="4"/>
      <c r="I38" s="28" t="s">
        <v>112</v>
      </c>
      <c r="J38" s="30">
        <v>1159.25</v>
      </c>
      <c r="K38" s="31">
        <v>3</v>
      </c>
      <c r="L38" s="4"/>
    </row>
    <row r="39" spans="1:12" ht="16" customHeight="1" x14ac:dyDescent="0.35">
      <c r="A39" s="6" t="s">
        <v>113</v>
      </c>
      <c r="B39" s="8">
        <v>1143.5999999999999</v>
      </c>
      <c r="C39" s="11">
        <v>1</v>
      </c>
      <c r="D39" s="7">
        <f t="shared" si="0"/>
        <v>1143.5999999999999</v>
      </c>
      <c r="E39" s="12">
        <f>B39/Overview!$B$7</f>
        <v>1.1160100748190094E-4</v>
      </c>
      <c r="F39" s="4"/>
      <c r="G39" s="4"/>
      <c r="H39" s="4"/>
      <c r="I39" s="28" t="s">
        <v>113</v>
      </c>
      <c r="J39" s="30">
        <v>1143.5999999999999</v>
      </c>
      <c r="K39" s="31">
        <v>1</v>
      </c>
      <c r="L39" s="4"/>
    </row>
    <row r="40" spans="1:12" ht="16" customHeight="1" x14ac:dyDescent="0.35">
      <c r="A40" s="6" t="s">
        <v>114</v>
      </c>
      <c r="B40" s="8">
        <v>1002.31</v>
      </c>
      <c r="C40" s="11">
        <v>1</v>
      </c>
      <c r="D40" s="7">
        <f t="shared" si="0"/>
        <v>1002.31</v>
      </c>
      <c r="E40" s="12">
        <f>B40/Overview!$B$7</f>
        <v>9.781287671317255E-5</v>
      </c>
      <c r="F40" s="4"/>
      <c r="G40" s="4"/>
      <c r="H40" s="4"/>
      <c r="I40" s="28" t="s">
        <v>114</v>
      </c>
      <c r="J40" s="30">
        <v>1002.31</v>
      </c>
      <c r="K40" s="31">
        <v>1</v>
      </c>
      <c r="L40" s="4"/>
    </row>
    <row r="41" spans="1:12" ht="16" customHeight="1" x14ac:dyDescent="0.35">
      <c r="A41" s="6" t="s">
        <v>115</v>
      </c>
      <c r="B41" s="8">
        <v>786.74</v>
      </c>
      <c r="C41" s="11">
        <v>2</v>
      </c>
      <c r="D41" s="7">
        <f t="shared" si="0"/>
        <v>393.37</v>
      </c>
      <c r="E41" s="12">
        <f>B41/Overview!$B$7</f>
        <v>7.677595018040465E-5</v>
      </c>
      <c r="F41" s="4"/>
      <c r="G41" s="4"/>
      <c r="H41" s="4"/>
      <c r="I41" s="28" t="s">
        <v>115</v>
      </c>
      <c r="J41" s="30">
        <v>786.74</v>
      </c>
      <c r="K41" s="31">
        <v>2</v>
      </c>
      <c r="L41" s="4"/>
    </row>
    <row r="42" spans="1:12" ht="16" customHeight="1" x14ac:dyDescent="0.35">
      <c r="A42" s="6" t="s">
        <v>116</v>
      </c>
      <c r="B42" s="8">
        <v>754.14</v>
      </c>
      <c r="C42" s="11">
        <v>3</v>
      </c>
      <c r="D42" s="7">
        <f t="shared" si="0"/>
        <v>251.38</v>
      </c>
      <c r="E42" s="12">
        <f>B42/Overview!$B$7</f>
        <v>7.359459932004265E-5</v>
      </c>
      <c r="F42" s="4"/>
      <c r="G42" s="4"/>
      <c r="H42" s="4"/>
      <c r="I42" s="28" t="s">
        <v>116</v>
      </c>
      <c r="J42" s="30">
        <v>754.14</v>
      </c>
      <c r="K42" s="31">
        <v>3</v>
      </c>
      <c r="L42" s="4"/>
    </row>
    <row r="43" spans="1:12" ht="16" customHeight="1" x14ac:dyDescent="0.35">
      <c r="A43" s="6" t="s">
        <v>117</v>
      </c>
      <c r="B43" s="8">
        <v>145.91999999999999</v>
      </c>
      <c r="C43" s="11">
        <v>1</v>
      </c>
      <c r="D43" s="7">
        <f t="shared" si="0"/>
        <v>145.91999999999999</v>
      </c>
      <c r="E43" s="12">
        <f>B43/Overview!$B$7</f>
        <v>1.4239960660859554E-5</v>
      </c>
      <c r="F43" s="4"/>
      <c r="G43" s="4"/>
      <c r="H43" s="4"/>
      <c r="I43" s="28" t="s">
        <v>117</v>
      </c>
      <c r="J43" s="30">
        <v>145.91999999999999</v>
      </c>
      <c r="K43" s="31">
        <v>1</v>
      </c>
      <c r="L43" s="4"/>
    </row>
    <row r="44" spans="1:12" ht="20" customHeight="1" x14ac:dyDescent="0.35">
      <c r="A44" s="4"/>
      <c r="B44" s="4"/>
      <c r="C44" s="4"/>
      <c r="D44" s="4"/>
      <c r="E44" s="4"/>
      <c r="F44" s="4"/>
      <c r="G44" s="4"/>
      <c r="H44" s="4"/>
      <c r="I44" s="28" t="s">
        <v>224</v>
      </c>
      <c r="J44" s="30">
        <v>10247219.32</v>
      </c>
      <c r="K44" s="31">
        <v>19773</v>
      </c>
      <c r="L44" s="4"/>
    </row>
    <row r="45" spans="1:12" ht="20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20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20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20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20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20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20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20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20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20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20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20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20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20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20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20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20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20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20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20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20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20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20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20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20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20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20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20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20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20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20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20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20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20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20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20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20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</sheetData>
  <mergeCells count="3">
    <mergeCell ref="A3:G3"/>
    <mergeCell ref="I2:L3"/>
    <mergeCell ref="A1:G2"/>
  </mergeCells>
  <printOptions horizontalCentered="1"/>
  <pageMargins left="0.25" right="0.25" top="0.35" bottom="0.35" header="0.5" footer="0.5"/>
  <pageSetup paperSize="8" fitToHeight="2" orientation="landscape"/>
  <headerFooter>
    <oddFooter>&amp;C&amp;9 Retail Sales Analysis | &amp;A | Page &amp;P of &amp;N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7E8B"/>
    <outlinePr summaryRight="0"/>
    <pageSetUpPr fitToPage="1"/>
  </sheetPr>
  <dimension ref="A1:G81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sqref="A1:G2"/>
    </sheetView>
  </sheetViews>
  <sheetFormatPr defaultRowHeight="14.5" x14ac:dyDescent="0.35"/>
  <cols>
    <col min="1" max="1" width="35" customWidth="1"/>
    <col min="2" max="2" width="21" customWidth="1"/>
    <col min="3" max="3" width="58" customWidth="1"/>
    <col min="4" max="4" width="22" customWidth="1"/>
    <col min="5" max="5" width="20" customWidth="1"/>
    <col min="6" max="6" width="19" customWidth="1"/>
    <col min="7" max="7" width="29" customWidth="1"/>
    <col min="8" max="8" width="3" customWidth="1"/>
    <col min="9" max="9" width="19" customWidth="1"/>
    <col min="10" max="10" width="21" customWidth="1"/>
    <col min="11" max="11" width="18" customWidth="1"/>
    <col min="12" max="12" width="16" customWidth="1"/>
  </cols>
  <sheetData>
    <row r="1" spans="1:7" ht="28" customHeight="1" x14ac:dyDescent="0.35">
      <c r="A1" s="1" t="s">
        <v>118</v>
      </c>
      <c r="B1" s="2"/>
      <c r="C1" s="2"/>
      <c r="D1" s="2"/>
      <c r="E1" s="2"/>
      <c r="F1" s="2"/>
      <c r="G1" s="2"/>
    </row>
    <row r="2" spans="1:7" ht="14" customHeight="1" x14ac:dyDescent="0.35">
      <c r="A2" s="2"/>
      <c r="B2" s="2"/>
      <c r="C2" s="2"/>
      <c r="D2" s="2"/>
      <c r="E2" s="2"/>
      <c r="F2" s="2"/>
      <c r="G2" s="2"/>
    </row>
    <row r="3" spans="1:7" ht="34" customHeight="1" x14ac:dyDescent="0.35">
      <c r="A3" s="3" t="s">
        <v>119</v>
      </c>
      <c r="B3" s="2"/>
      <c r="C3" s="2"/>
      <c r="D3" s="2"/>
      <c r="E3" s="2"/>
      <c r="F3" s="2"/>
      <c r="G3" s="2"/>
    </row>
    <row r="4" spans="1:7" ht="20" customHeight="1" x14ac:dyDescent="0.35">
      <c r="A4" s="4"/>
      <c r="B4" s="4"/>
      <c r="C4" s="4"/>
      <c r="D4" s="4"/>
      <c r="E4" s="4"/>
      <c r="F4" s="4"/>
      <c r="G4" s="4"/>
    </row>
    <row r="5" spans="1:7" ht="32" customHeight="1" x14ac:dyDescent="0.35">
      <c r="A5" s="5" t="s">
        <v>120</v>
      </c>
      <c r="B5" s="5" t="s">
        <v>121</v>
      </c>
      <c r="C5" s="5" t="s">
        <v>122</v>
      </c>
      <c r="D5" s="4"/>
      <c r="E5" s="4"/>
      <c r="F5" s="4"/>
      <c r="G5" s="4"/>
    </row>
    <row r="6" spans="1:7" ht="30" customHeight="1" x14ac:dyDescent="0.35">
      <c r="A6" s="6" t="s">
        <v>123</v>
      </c>
      <c r="B6" s="10">
        <f>B7</f>
        <v>4334</v>
      </c>
      <c r="C6" s="6" t="s">
        <v>124</v>
      </c>
      <c r="D6" s="4"/>
      <c r="E6" s="4"/>
      <c r="F6" s="4"/>
      <c r="G6" s="4"/>
    </row>
    <row r="7" spans="1:7" ht="30" customHeight="1" x14ac:dyDescent="0.35">
      <c r="A7" s="6" t="s">
        <v>125</v>
      </c>
      <c r="B7" s="11">
        <v>4334</v>
      </c>
      <c r="C7" s="6" t="s">
        <v>126</v>
      </c>
      <c r="D7" s="4"/>
      <c r="E7" s="4"/>
      <c r="F7" s="4"/>
      <c r="G7" s="4"/>
    </row>
    <row r="8" spans="1:7" ht="30" customHeight="1" x14ac:dyDescent="0.35">
      <c r="A8" s="6" t="s">
        <v>11</v>
      </c>
      <c r="B8" s="11">
        <v>2829</v>
      </c>
      <c r="C8" s="6" t="s">
        <v>127</v>
      </c>
      <c r="D8" s="4"/>
      <c r="E8" s="4"/>
      <c r="F8" s="4"/>
      <c r="G8" s="4"/>
    </row>
    <row r="9" spans="1:7" ht="30" customHeight="1" x14ac:dyDescent="0.35">
      <c r="A9" s="6" t="s">
        <v>128</v>
      </c>
      <c r="B9" s="11">
        <v>1505</v>
      </c>
      <c r="C9" s="6" t="s">
        <v>129</v>
      </c>
      <c r="D9" s="4"/>
      <c r="E9" s="4"/>
      <c r="F9" s="4"/>
      <c r="G9" s="4"/>
    </row>
    <row r="10" spans="1:7" ht="30" customHeight="1" x14ac:dyDescent="0.35">
      <c r="A10" s="6" t="s">
        <v>12</v>
      </c>
      <c r="B10" s="12">
        <f>B8/B7</f>
        <v>0.65274573142593451</v>
      </c>
      <c r="C10" s="6" t="s">
        <v>130</v>
      </c>
      <c r="D10" s="4"/>
      <c r="E10" s="4"/>
      <c r="F10" s="4"/>
      <c r="G10" s="4"/>
    </row>
    <row r="11" spans="1:7" ht="30" customHeight="1" x14ac:dyDescent="0.35">
      <c r="A11" s="6" t="s">
        <v>131</v>
      </c>
      <c r="B11" s="11">
        <v>18402</v>
      </c>
      <c r="C11" s="6" t="s">
        <v>132</v>
      </c>
      <c r="D11" s="4"/>
      <c r="E11" s="4"/>
      <c r="F11" s="4"/>
      <c r="G11" s="4"/>
    </row>
    <row r="12" spans="1:7" ht="30" customHeight="1" x14ac:dyDescent="0.35">
      <c r="A12" s="6" t="s">
        <v>133</v>
      </c>
      <c r="B12" s="8">
        <v>8737227.6400000006</v>
      </c>
      <c r="C12" s="6" t="s">
        <v>134</v>
      </c>
      <c r="D12" s="4"/>
      <c r="E12" s="4"/>
      <c r="F12" s="4"/>
      <c r="G12" s="4"/>
    </row>
    <row r="13" spans="1:7" ht="30" customHeight="1" x14ac:dyDescent="0.35">
      <c r="A13" s="6" t="s">
        <v>135</v>
      </c>
      <c r="B13" s="11">
        <v>131387</v>
      </c>
      <c r="C13" s="6" t="s">
        <v>136</v>
      </c>
      <c r="D13" s="4"/>
      <c r="E13" s="4"/>
      <c r="F13" s="4"/>
      <c r="G13" s="4"/>
    </row>
    <row r="14" spans="1:7" ht="20" customHeight="1" x14ac:dyDescent="0.35">
      <c r="A14" s="4"/>
      <c r="B14" s="4"/>
      <c r="C14" s="4"/>
      <c r="D14" s="4"/>
      <c r="E14" s="4"/>
      <c r="F14" s="4"/>
      <c r="G14" s="4"/>
    </row>
    <row r="15" spans="1:7" ht="20" customHeight="1" x14ac:dyDescent="0.35">
      <c r="A15" s="4"/>
      <c r="B15" s="4"/>
      <c r="C15" s="4"/>
      <c r="D15" s="4"/>
      <c r="E15" s="4"/>
      <c r="F15" s="4"/>
      <c r="G15" s="4"/>
    </row>
    <row r="16" spans="1:7" ht="25" customHeight="1" x14ac:dyDescent="0.35">
      <c r="A16" s="14" t="s">
        <v>137</v>
      </c>
      <c r="B16" s="2"/>
      <c r="C16" s="2"/>
      <c r="D16" s="2"/>
      <c r="E16" s="2"/>
      <c r="F16" s="2"/>
      <c r="G16" s="2"/>
    </row>
    <row r="17" spans="1:7" ht="20" customHeight="1" x14ac:dyDescent="0.35">
      <c r="A17" s="4"/>
      <c r="B17" s="4"/>
      <c r="C17" s="4"/>
      <c r="D17" s="4"/>
      <c r="E17" s="4"/>
      <c r="F17" s="4"/>
      <c r="G17" s="4"/>
    </row>
    <row r="18" spans="1:7" ht="32" customHeight="1" x14ac:dyDescent="0.35">
      <c r="A18" s="5" t="s">
        <v>138</v>
      </c>
      <c r="B18" s="5" t="s">
        <v>123</v>
      </c>
      <c r="C18" s="5" t="s">
        <v>139</v>
      </c>
      <c r="D18" s="5" t="s">
        <v>32</v>
      </c>
      <c r="E18" s="5" t="s">
        <v>33</v>
      </c>
      <c r="F18" s="4"/>
      <c r="G18" s="4"/>
    </row>
    <row r="19" spans="1:7" ht="20" customHeight="1" x14ac:dyDescent="0.35">
      <c r="A19" s="6" t="s">
        <v>140</v>
      </c>
      <c r="B19" s="11">
        <v>1505</v>
      </c>
      <c r="C19" s="12">
        <f>B19/$B$7</f>
        <v>0.34725426857406555</v>
      </c>
      <c r="D19" s="8">
        <v>626605.9</v>
      </c>
      <c r="E19" s="11">
        <v>1505</v>
      </c>
      <c r="F19" s="4"/>
      <c r="G19" s="4"/>
    </row>
    <row r="20" spans="1:7" ht="20" customHeight="1" x14ac:dyDescent="0.35">
      <c r="A20" s="6" t="s">
        <v>141</v>
      </c>
      <c r="B20" s="11">
        <v>831</v>
      </c>
      <c r="C20" s="12">
        <f>B20/$B$7</f>
        <v>0.1917397323488694</v>
      </c>
      <c r="D20" s="8">
        <v>720890.58</v>
      </c>
      <c r="E20" s="11">
        <v>1662</v>
      </c>
      <c r="F20" s="4"/>
      <c r="G20" s="4"/>
    </row>
    <row r="21" spans="1:7" ht="20" customHeight="1" x14ac:dyDescent="0.35">
      <c r="A21" s="6" t="s">
        <v>142</v>
      </c>
      <c r="B21" s="11">
        <v>897</v>
      </c>
      <c r="C21" s="12">
        <f>B21/$B$7</f>
        <v>0.20696815874480848</v>
      </c>
      <c r="D21" s="8">
        <v>1197610.25</v>
      </c>
      <c r="E21" s="11">
        <v>3086</v>
      </c>
      <c r="F21" s="4"/>
      <c r="G21" s="4"/>
    </row>
    <row r="22" spans="1:7" ht="20" customHeight="1" x14ac:dyDescent="0.35">
      <c r="A22" s="6" t="s">
        <v>143</v>
      </c>
      <c r="B22" s="11">
        <v>715</v>
      </c>
      <c r="C22" s="12">
        <f>B22/$B$7</f>
        <v>0.1649746192893401</v>
      </c>
      <c r="D22" s="8">
        <v>1728732.62</v>
      </c>
      <c r="E22" s="11">
        <v>4596</v>
      </c>
      <c r="F22" s="4"/>
      <c r="G22" s="4"/>
    </row>
    <row r="23" spans="1:7" ht="20" customHeight="1" x14ac:dyDescent="0.35">
      <c r="A23" s="6" t="s">
        <v>144</v>
      </c>
      <c r="B23" s="11">
        <v>386</v>
      </c>
      <c r="C23" s="12">
        <f>B23/$B$7</f>
        <v>8.9063221042916474E-2</v>
      </c>
      <c r="D23" s="8">
        <v>4463388.29</v>
      </c>
      <c r="E23" s="11">
        <v>7553</v>
      </c>
      <c r="F23" s="4"/>
      <c r="G23" s="4"/>
    </row>
    <row r="24" spans="1:7" ht="20" customHeight="1" x14ac:dyDescent="0.35">
      <c r="A24" s="4"/>
      <c r="B24" s="4"/>
      <c r="C24" s="4"/>
      <c r="D24" s="4"/>
      <c r="E24" s="4"/>
      <c r="F24" s="4"/>
      <c r="G24" s="4"/>
    </row>
    <row r="25" spans="1:7" ht="20" customHeight="1" x14ac:dyDescent="0.35">
      <c r="A25" s="4" t="s">
        <v>145</v>
      </c>
      <c r="B25" s="27">
        <f>SUM(B19:B23)</f>
        <v>4334</v>
      </c>
      <c r="C25" s="4"/>
      <c r="D25" s="4"/>
      <c r="E25" s="4"/>
      <c r="F25" s="4"/>
      <c r="G25" s="4"/>
    </row>
    <row r="26" spans="1:7" ht="20" customHeight="1" x14ac:dyDescent="0.35">
      <c r="A26" s="4"/>
      <c r="B26" s="4"/>
      <c r="C26" s="4"/>
      <c r="D26" s="4"/>
      <c r="E26" s="4"/>
      <c r="F26" s="4"/>
      <c r="G26" s="4"/>
    </row>
    <row r="27" spans="1:7" ht="20" customHeight="1" x14ac:dyDescent="0.35">
      <c r="A27" s="4"/>
      <c r="B27" s="4"/>
      <c r="C27" s="4"/>
      <c r="D27" s="4"/>
      <c r="E27" s="4"/>
      <c r="F27" s="4"/>
      <c r="G27" s="4"/>
    </row>
    <row r="28" spans="1:7" ht="34" customHeight="1" x14ac:dyDescent="0.35">
      <c r="A28" s="15" t="s">
        <v>146</v>
      </c>
      <c r="B28" s="2"/>
      <c r="C28" s="2"/>
      <c r="D28" s="2"/>
      <c r="E28" s="2"/>
      <c r="F28" s="2"/>
      <c r="G28" s="2"/>
    </row>
    <row r="29" spans="1:7" ht="20" customHeight="1" x14ac:dyDescent="0.35">
      <c r="A29" s="4"/>
      <c r="B29" s="4"/>
      <c r="C29" s="4"/>
      <c r="D29" s="4"/>
      <c r="E29" s="4"/>
      <c r="F29" s="4"/>
      <c r="G29" s="4"/>
    </row>
    <row r="30" spans="1:7" ht="34" customHeight="1" x14ac:dyDescent="0.35">
      <c r="A30" s="15" t="s">
        <v>147</v>
      </c>
      <c r="B30" s="2"/>
      <c r="C30" s="2"/>
      <c r="D30" s="2"/>
      <c r="E30" s="2"/>
      <c r="F30" s="2"/>
      <c r="G30" s="2"/>
    </row>
    <row r="31" spans="1:7" ht="20" customHeight="1" x14ac:dyDescent="0.35">
      <c r="A31" s="4"/>
      <c r="B31" s="4"/>
      <c r="C31" s="4"/>
      <c r="D31" s="4"/>
      <c r="E31" s="4"/>
      <c r="F31" s="4"/>
      <c r="G31" s="4"/>
    </row>
    <row r="32" spans="1:7" ht="20" customHeight="1" x14ac:dyDescent="0.35">
      <c r="A32" s="4"/>
      <c r="B32" s="4"/>
      <c r="C32" s="4"/>
      <c r="D32" s="4"/>
      <c r="E32" s="4"/>
      <c r="F32" s="4"/>
      <c r="G32" s="4"/>
    </row>
    <row r="33" spans="1:7" ht="20" customHeight="1" x14ac:dyDescent="0.35">
      <c r="A33" s="4"/>
      <c r="B33" s="4"/>
      <c r="C33" s="4"/>
      <c r="D33" s="4"/>
      <c r="E33" s="4"/>
      <c r="F33" s="4"/>
      <c r="G33" s="4"/>
    </row>
    <row r="34" spans="1:7" ht="20" customHeight="1" x14ac:dyDescent="0.35">
      <c r="A34" s="4"/>
      <c r="B34" s="4"/>
      <c r="C34" s="4"/>
      <c r="D34" s="4"/>
      <c r="E34" s="4"/>
      <c r="F34" s="4"/>
      <c r="G34" s="4"/>
    </row>
    <row r="35" spans="1:7" ht="20" customHeight="1" x14ac:dyDescent="0.35">
      <c r="A35" s="4"/>
      <c r="B35" s="4"/>
      <c r="C35" s="4"/>
      <c r="D35" s="4"/>
      <c r="E35" s="4"/>
      <c r="F35" s="4"/>
      <c r="G35" s="4"/>
    </row>
    <row r="36" spans="1:7" ht="20" customHeight="1" x14ac:dyDescent="0.35">
      <c r="A36" s="4"/>
      <c r="B36" s="4"/>
      <c r="C36" s="4"/>
      <c r="D36" s="4"/>
      <c r="E36" s="4"/>
      <c r="F36" s="4"/>
      <c r="G36" s="4"/>
    </row>
    <row r="37" spans="1:7" ht="20" customHeight="1" x14ac:dyDescent="0.35">
      <c r="A37" s="4"/>
      <c r="B37" s="4"/>
      <c r="C37" s="4"/>
      <c r="D37" s="4"/>
      <c r="E37" s="4"/>
      <c r="F37" s="4"/>
      <c r="G37" s="4"/>
    </row>
    <row r="38" spans="1:7" ht="20" customHeight="1" x14ac:dyDescent="0.35">
      <c r="A38" s="4"/>
      <c r="B38" s="4"/>
      <c r="C38" s="4"/>
      <c r="D38" s="4"/>
      <c r="E38" s="4"/>
      <c r="F38" s="4"/>
      <c r="G38" s="4"/>
    </row>
    <row r="39" spans="1:7" ht="20" customHeight="1" x14ac:dyDescent="0.35">
      <c r="A39" s="4"/>
      <c r="B39" s="4"/>
      <c r="C39" s="4"/>
      <c r="D39" s="4"/>
      <c r="E39" s="4"/>
      <c r="F39" s="4"/>
      <c r="G39" s="4"/>
    </row>
    <row r="40" spans="1:7" ht="20" customHeight="1" x14ac:dyDescent="0.35">
      <c r="A40" s="4"/>
      <c r="B40" s="4"/>
      <c r="C40" s="4"/>
      <c r="D40" s="4"/>
      <c r="E40" s="4"/>
      <c r="F40" s="4"/>
      <c r="G40" s="4"/>
    </row>
    <row r="41" spans="1:7" ht="20" customHeight="1" x14ac:dyDescent="0.35">
      <c r="A41" s="4"/>
      <c r="B41" s="4"/>
      <c r="C41" s="4"/>
      <c r="D41" s="4"/>
      <c r="E41" s="4"/>
      <c r="F41" s="4"/>
      <c r="G41" s="4"/>
    </row>
    <row r="42" spans="1:7" ht="20" customHeight="1" x14ac:dyDescent="0.35">
      <c r="A42" s="4"/>
      <c r="B42" s="4"/>
      <c r="C42" s="4"/>
      <c r="D42" s="4"/>
      <c r="E42" s="4"/>
      <c r="F42" s="4"/>
      <c r="G42" s="4"/>
    </row>
    <row r="43" spans="1:7" ht="20" customHeight="1" x14ac:dyDescent="0.35">
      <c r="A43" s="4"/>
      <c r="B43" s="4"/>
      <c r="C43" s="4"/>
      <c r="D43" s="4"/>
      <c r="E43" s="4"/>
      <c r="F43" s="4"/>
      <c r="G43" s="4"/>
    </row>
    <row r="44" spans="1:7" ht="20" customHeight="1" x14ac:dyDescent="0.35">
      <c r="A44" s="4"/>
      <c r="B44" s="4"/>
      <c r="C44" s="4"/>
      <c r="D44" s="4"/>
      <c r="E44" s="4"/>
      <c r="F44" s="4"/>
      <c r="G44" s="4"/>
    </row>
    <row r="45" spans="1:7" ht="20" customHeight="1" x14ac:dyDescent="0.35">
      <c r="A45" s="4"/>
      <c r="B45" s="4"/>
      <c r="C45" s="4"/>
      <c r="D45" s="4"/>
      <c r="E45" s="4"/>
      <c r="F45" s="4"/>
      <c r="G45" s="4"/>
    </row>
    <row r="46" spans="1:7" ht="20" customHeight="1" x14ac:dyDescent="0.35">
      <c r="A46" s="4"/>
      <c r="B46" s="4"/>
      <c r="C46" s="4"/>
      <c r="D46" s="4"/>
      <c r="E46" s="4"/>
      <c r="F46" s="4"/>
      <c r="G46" s="4"/>
    </row>
    <row r="47" spans="1:7" ht="20" customHeight="1" x14ac:dyDescent="0.35">
      <c r="A47" s="4"/>
      <c r="B47" s="4"/>
      <c r="C47" s="4"/>
      <c r="D47" s="4"/>
      <c r="E47" s="4"/>
      <c r="F47" s="4"/>
      <c r="G47" s="4"/>
    </row>
    <row r="48" spans="1:7" ht="20" customHeight="1" x14ac:dyDescent="0.35">
      <c r="A48" s="4"/>
      <c r="B48" s="4"/>
      <c r="C48" s="4"/>
      <c r="D48" s="4"/>
      <c r="E48" s="4"/>
      <c r="F48" s="4"/>
      <c r="G48" s="4"/>
    </row>
    <row r="49" spans="1:7" ht="20" customHeight="1" x14ac:dyDescent="0.35">
      <c r="A49" s="4"/>
      <c r="B49" s="4"/>
      <c r="C49" s="4"/>
      <c r="D49" s="4"/>
      <c r="E49" s="4"/>
      <c r="F49" s="4"/>
      <c r="G49" s="4"/>
    </row>
    <row r="50" spans="1:7" ht="20" customHeight="1" x14ac:dyDescent="0.35">
      <c r="A50" s="4"/>
      <c r="B50" s="4"/>
      <c r="C50" s="4"/>
      <c r="D50" s="4"/>
      <c r="E50" s="4"/>
      <c r="F50" s="4"/>
      <c r="G50" s="4"/>
    </row>
    <row r="51" spans="1:7" ht="20" customHeight="1" x14ac:dyDescent="0.35">
      <c r="A51" s="4"/>
      <c r="B51" s="4"/>
      <c r="C51" s="4"/>
      <c r="D51" s="4"/>
      <c r="E51" s="4"/>
      <c r="F51" s="4"/>
      <c r="G51" s="4"/>
    </row>
    <row r="52" spans="1:7" ht="20" customHeight="1" x14ac:dyDescent="0.35">
      <c r="A52" s="4"/>
      <c r="B52" s="4"/>
      <c r="C52" s="4"/>
      <c r="D52" s="4"/>
      <c r="E52" s="4"/>
      <c r="F52" s="4"/>
      <c r="G52" s="4"/>
    </row>
    <row r="53" spans="1:7" ht="20" customHeight="1" x14ac:dyDescent="0.35">
      <c r="A53" s="4"/>
      <c r="B53" s="4"/>
      <c r="C53" s="4"/>
      <c r="D53" s="4"/>
      <c r="E53" s="4"/>
      <c r="F53" s="4"/>
      <c r="G53" s="4"/>
    </row>
    <row r="54" spans="1:7" ht="20" customHeight="1" x14ac:dyDescent="0.35">
      <c r="A54" s="4"/>
      <c r="B54" s="4"/>
      <c r="C54" s="4"/>
      <c r="D54" s="4"/>
      <c r="E54" s="4"/>
      <c r="F54" s="4"/>
      <c r="G54" s="4"/>
    </row>
    <row r="55" spans="1:7" ht="20" customHeight="1" x14ac:dyDescent="0.35">
      <c r="A55" s="4"/>
      <c r="B55" s="4"/>
      <c r="C55" s="4"/>
      <c r="D55" s="4"/>
      <c r="E55" s="4"/>
      <c r="F55" s="4"/>
      <c r="G55" s="4"/>
    </row>
    <row r="56" spans="1:7" ht="20" customHeight="1" x14ac:dyDescent="0.35">
      <c r="A56" s="4"/>
      <c r="B56" s="4"/>
      <c r="C56" s="4"/>
      <c r="D56" s="4"/>
      <c r="E56" s="4"/>
      <c r="F56" s="4"/>
      <c r="G56" s="4"/>
    </row>
    <row r="57" spans="1:7" ht="20" customHeight="1" x14ac:dyDescent="0.35">
      <c r="A57" s="4"/>
      <c r="B57" s="4"/>
      <c r="C57" s="4"/>
      <c r="D57" s="4"/>
      <c r="E57" s="4"/>
      <c r="F57" s="4"/>
      <c r="G57" s="4"/>
    </row>
    <row r="58" spans="1:7" ht="20" customHeight="1" x14ac:dyDescent="0.35">
      <c r="A58" s="4"/>
      <c r="B58" s="4"/>
      <c r="C58" s="4"/>
      <c r="D58" s="4"/>
      <c r="E58" s="4"/>
      <c r="F58" s="4"/>
      <c r="G58" s="4"/>
    </row>
    <row r="59" spans="1:7" ht="20" customHeight="1" x14ac:dyDescent="0.35">
      <c r="A59" s="4"/>
      <c r="B59" s="4"/>
      <c r="C59" s="4"/>
      <c r="D59" s="4"/>
      <c r="E59" s="4"/>
      <c r="F59" s="4"/>
      <c r="G59" s="4"/>
    </row>
    <row r="60" spans="1:7" ht="20" customHeight="1" x14ac:dyDescent="0.35">
      <c r="A60" s="4"/>
      <c r="B60" s="4"/>
      <c r="C60" s="4"/>
      <c r="D60" s="4"/>
      <c r="E60" s="4"/>
      <c r="F60" s="4"/>
      <c r="G60" s="4"/>
    </row>
    <row r="61" spans="1:7" ht="20" customHeight="1" x14ac:dyDescent="0.35">
      <c r="A61" s="4"/>
      <c r="B61" s="4"/>
      <c r="C61" s="4"/>
      <c r="D61" s="4"/>
      <c r="E61" s="4"/>
      <c r="F61" s="4"/>
      <c r="G61" s="4"/>
    </row>
    <row r="62" spans="1:7" ht="20" customHeight="1" x14ac:dyDescent="0.35">
      <c r="A62" s="4"/>
      <c r="B62" s="4"/>
      <c r="C62" s="4"/>
      <c r="D62" s="4"/>
      <c r="E62" s="4"/>
      <c r="F62" s="4"/>
      <c r="G62" s="4"/>
    </row>
    <row r="63" spans="1:7" ht="20" customHeight="1" x14ac:dyDescent="0.35">
      <c r="A63" s="4"/>
      <c r="B63" s="4"/>
      <c r="C63" s="4"/>
      <c r="D63" s="4"/>
      <c r="E63" s="4"/>
      <c r="F63" s="4"/>
      <c r="G63" s="4"/>
    </row>
    <row r="64" spans="1:7" ht="20" customHeight="1" x14ac:dyDescent="0.35">
      <c r="A64" s="4"/>
      <c r="B64" s="4"/>
      <c r="C64" s="4"/>
      <c r="D64" s="4"/>
      <c r="E64" s="4"/>
      <c r="F64" s="4"/>
      <c r="G64" s="4"/>
    </row>
    <row r="65" spans="1:7" ht="20" customHeight="1" x14ac:dyDescent="0.35">
      <c r="A65" s="4"/>
      <c r="B65" s="4"/>
      <c r="C65" s="4"/>
      <c r="D65" s="4"/>
      <c r="E65" s="4"/>
      <c r="F65" s="4"/>
      <c r="G65" s="4"/>
    </row>
    <row r="66" spans="1:7" ht="20" customHeight="1" x14ac:dyDescent="0.35">
      <c r="A66" s="4"/>
      <c r="B66" s="4"/>
      <c r="C66" s="4"/>
      <c r="D66" s="4"/>
      <c r="E66" s="4"/>
      <c r="F66" s="4"/>
      <c r="G66" s="4"/>
    </row>
    <row r="67" spans="1:7" ht="20" customHeight="1" x14ac:dyDescent="0.35">
      <c r="A67" s="4"/>
      <c r="B67" s="4"/>
      <c r="C67" s="4"/>
      <c r="D67" s="4"/>
      <c r="E67" s="4"/>
      <c r="F67" s="4"/>
      <c r="G67" s="4"/>
    </row>
    <row r="68" spans="1:7" ht="20" customHeight="1" x14ac:dyDescent="0.35">
      <c r="A68" s="4"/>
      <c r="B68" s="4"/>
      <c r="C68" s="4"/>
      <c r="D68" s="4"/>
      <c r="E68" s="4"/>
      <c r="F68" s="4"/>
      <c r="G68" s="4"/>
    </row>
    <row r="69" spans="1:7" ht="20" customHeight="1" x14ac:dyDescent="0.35">
      <c r="A69" s="4"/>
      <c r="B69" s="4"/>
      <c r="C69" s="4"/>
      <c r="D69" s="4"/>
      <c r="E69" s="4"/>
      <c r="F69" s="4"/>
      <c r="G69" s="4"/>
    </row>
    <row r="70" spans="1:7" ht="20" customHeight="1" x14ac:dyDescent="0.35">
      <c r="A70" s="4"/>
      <c r="B70" s="4"/>
      <c r="C70" s="4"/>
      <c r="D70" s="4"/>
      <c r="E70" s="4"/>
      <c r="F70" s="4"/>
      <c r="G70" s="4"/>
    </row>
    <row r="71" spans="1:7" ht="20" customHeight="1" x14ac:dyDescent="0.35">
      <c r="A71" s="4"/>
      <c r="B71" s="4"/>
      <c r="C71" s="4"/>
      <c r="D71" s="4"/>
      <c r="E71" s="4"/>
      <c r="F71" s="4"/>
      <c r="G71" s="4"/>
    </row>
    <row r="72" spans="1:7" ht="20" customHeight="1" x14ac:dyDescent="0.35">
      <c r="A72" s="4"/>
      <c r="B72" s="4"/>
      <c r="C72" s="4"/>
      <c r="D72" s="4"/>
      <c r="E72" s="4"/>
      <c r="F72" s="4"/>
      <c r="G72" s="4"/>
    </row>
    <row r="73" spans="1:7" ht="20" customHeight="1" x14ac:dyDescent="0.35">
      <c r="A73" s="4"/>
      <c r="B73" s="4"/>
      <c r="C73" s="4"/>
      <c r="D73" s="4"/>
      <c r="E73" s="4"/>
      <c r="F73" s="4"/>
      <c r="G73" s="4"/>
    </row>
    <row r="74" spans="1:7" ht="20" customHeight="1" x14ac:dyDescent="0.35">
      <c r="A74" s="4"/>
      <c r="B74" s="4"/>
      <c r="C74" s="4"/>
      <c r="D74" s="4"/>
      <c r="E74" s="4"/>
      <c r="F74" s="4"/>
      <c r="G74" s="4"/>
    </row>
    <row r="75" spans="1:7" ht="20" customHeight="1" x14ac:dyDescent="0.35">
      <c r="A75" s="4"/>
      <c r="B75" s="4"/>
      <c r="C75" s="4"/>
      <c r="D75" s="4"/>
      <c r="E75" s="4"/>
      <c r="F75" s="4"/>
      <c r="G75" s="4"/>
    </row>
    <row r="76" spans="1:7" ht="20" customHeight="1" x14ac:dyDescent="0.35">
      <c r="A76" s="4"/>
      <c r="B76" s="4"/>
      <c r="C76" s="4"/>
      <c r="D76" s="4"/>
      <c r="E76" s="4"/>
      <c r="F76" s="4"/>
      <c r="G76" s="4"/>
    </row>
    <row r="77" spans="1:7" ht="20" customHeight="1" x14ac:dyDescent="0.35">
      <c r="A77" s="4"/>
      <c r="B77" s="4"/>
      <c r="C77" s="4"/>
      <c r="D77" s="4"/>
      <c r="E77" s="4"/>
      <c r="F77" s="4"/>
      <c r="G77" s="4"/>
    </row>
    <row r="78" spans="1:7" ht="20" customHeight="1" x14ac:dyDescent="0.35">
      <c r="A78" s="4"/>
      <c r="B78" s="4"/>
      <c r="C78" s="4"/>
      <c r="D78" s="4"/>
      <c r="E78" s="4"/>
      <c r="F78" s="4"/>
      <c r="G78" s="4"/>
    </row>
    <row r="79" spans="1:7" ht="20" customHeight="1" x14ac:dyDescent="0.35">
      <c r="A79" s="4"/>
      <c r="B79" s="4"/>
      <c r="C79" s="4"/>
      <c r="D79" s="4"/>
      <c r="E79" s="4"/>
      <c r="F79" s="4"/>
      <c r="G79" s="4"/>
    </row>
    <row r="80" spans="1:7" ht="20" customHeight="1" x14ac:dyDescent="0.35">
      <c r="A80" s="4"/>
      <c r="B80" s="4"/>
      <c r="C80" s="4"/>
      <c r="D80" s="4"/>
      <c r="E80" s="4"/>
      <c r="F80" s="4"/>
      <c r="G80" s="4"/>
    </row>
    <row r="81" spans="1:7" ht="20" customHeight="1" x14ac:dyDescent="0.35">
      <c r="A81" s="4"/>
      <c r="B81" s="4"/>
      <c r="C81" s="4"/>
      <c r="D81" s="4"/>
      <c r="E81" s="4"/>
      <c r="F81" s="4"/>
      <c r="G81" s="4"/>
    </row>
  </sheetData>
  <mergeCells count="5">
    <mergeCell ref="A1:G2"/>
    <mergeCell ref="A3:G3"/>
    <mergeCell ref="A30:G30"/>
    <mergeCell ref="A16:G16"/>
    <mergeCell ref="A28:G28"/>
  </mergeCells>
  <printOptions horizontalCentered="1"/>
  <pageMargins left="0.25" right="0.25" top="0.35" bottom="0.35" header="0.5" footer="0.5"/>
  <pageSetup paperSize="8" orientation="landscape"/>
  <headerFooter>
    <oddFooter>&amp;C&amp;9 Retail Sales Analysis | &amp;A | Page &amp;P of &amp;N</oddFooter>
  </headerFooter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7E8B"/>
    <outlinePr summaryRight="0"/>
    <pageSetUpPr fitToPage="1"/>
  </sheetPr>
  <dimension ref="A1:G81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sqref="A1:G2"/>
    </sheetView>
  </sheetViews>
  <sheetFormatPr defaultRowHeight="14.5" x14ac:dyDescent="0.35"/>
  <cols>
    <col min="1" max="1" width="38" customWidth="1"/>
    <col min="2" max="2" width="21" customWidth="1"/>
    <col min="3" max="3" width="18" customWidth="1"/>
    <col min="4" max="4" width="42" customWidth="1"/>
    <col min="5" max="5" width="20" customWidth="1"/>
    <col min="6" max="6" width="19" customWidth="1"/>
    <col min="7" max="7" width="29" customWidth="1"/>
    <col min="8" max="8" width="3" customWidth="1"/>
    <col min="9" max="9" width="19" customWidth="1"/>
    <col min="10" max="10" width="21" customWidth="1"/>
    <col min="11" max="11" width="18" customWidth="1"/>
    <col min="12" max="12" width="16" customWidth="1"/>
  </cols>
  <sheetData>
    <row r="1" spans="1:7" ht="28" customHeight="1" x14ac:dyDescent="0.35">
      <c r="A1" s="1" t="s">
        <v>148</v>
      </c>
      <c r="B1" s="2"/>
      <c r="C1" s="2"/>
      <c r="D1" s="2"/>
      <c r="E1" s="2"/>
      <c r="F1" s="2"/>
      <c r="G1" s="2"/>
    </row>
    <row r="2" spans="1:7" ht="14" customHeight="1" x14ac:dyDescent="0.35">
      <c r="A2" s="2"/>
      <c r="B2" s="2"/>
      <c r="C2" s="2"/>
      <c r="D2" s="2"/>
      <c r="E2" s="2"/>
      <c r="F2" s="2"/>
      <c r="G2" s="2"/>
    </row>
    <row r="3" spans="1:7" ht="34" customHeight="1" x14ac:dyDescent="0.35">
      <c r="A3" s="3" t="s">
        <v>149</v>
      </c>
      <c r="B3" s="2"/>
      <c r="C3" s="2"/>
      <c r="D3" s="2"/>
      <c r="E3" s="2"/>
      <c r="F3" s="2"/>
      <c r="G3" s="2"/>
    </row>
    <row r="4" spans="1:7" ht="20" customHeight="1" x14ac:dyDescent="0.35">
      <c r="A4" s="4"/>
      <c r="B4" s="4"/>
      <c r="C4" s="4"/>
      <c r="D4" s="4"/>
      <c r="E4" s="4"/>
      <c r="F4" s="4"/>
      <c r="G4" s="4"/>
    </row>
    <row r="5" spans="1:7" ht="32" customHeight="1" x14ac:dyDescent="0.35">
      <c r="A5" s="5" t="s">
        <v>150</v>
      </c>
      <c r="B5" s="5" t="s">
        <v>151</v>
      </c>
      <c r="C5" s="5" t="s">
        <v>152</v>
      </c>
      <c r="D5" s="5" t="s">
        <v>153</v>
      </c>
      <c r="E5" s="5" t="s">
        <v>154</v>
      </c>
      <c r="F5" s="5" t="s">
        <v>155</v>
      </c>
      <c r="G5" s="4"/>
    </row>
    <row r="6" spans="1:7" ht="29" customHeight="1" x14ac:dyDescent="0.35">
      <c r="A6" s="6" t="s">
        <v>156</v>
      </c>
      <c r="B6" s="11">
        <v>541909</v>
      </c>
      <c r="C6" s="11">
        <v>0</v>
      </c>
      <c r="D6" s="11">
        <v>541909</v>
      </c>
      <c r="E6" s="8">
        <v>0</v>
      </c>
      <c r="F6" s="8">
        <v>0</v>
      </c>
      <c r="G6" s="4"/>
    </row>
    <row r="7" spans="1:7" ht="29" customHeight="1" x14ac:dyDescent="0.35">
      <c r="A7" s="6" t="s">
        <v>157</v>
      </c>
      <c r="B7" s="11">
        <v>541909</v>
      </c>
      <c r="C7" s="11">
        <v>9288</v>
      </c>
      <c r="D7" s="11">
        <v>532621</v>
      </c>
      <c r="E7" s="8">
        <v>-896812.49</v>
      </c>
      <c r="F7" s="8">
        <v>896812.49</v>
      </c>
      <c r="G7" s="4"/>
    </row>
    <row r="8" spans="1:7" ht="29" customHeight="1" x14ac:dyDescent="0.35">
      <c r="A8" s="6" t="s">
        <v>158</v>
      </c>
      <c r="B8" s="11">
        <v>532621</v>
      </c>
      <c r="C8" s="11">
        <v>1336</v>
      </c>
      <c r="D8" s="11">
        <v>531285</v>
      </c>
      <c r="E8" s="8">
        <v>0</v>
      </c>
      <c r="F8" s="8">
        <v>0</v>
      </c>
      <c r="G8" s="4"/>
    </row>
    <row r="9" spans="1:7" ht="29" customHeight="1" x14ac:dyDescent="0.35">
      <c r="A9" s="6" t="s">
        <v>159</v>
      </c>
      <c r="B9" s="11">
        <v>531285</v>
      </c>
      <c r="C9" s="11">
        <v>1181</v>
      </c>
      <c r="D9" s="11">
        <v>530104</v>
      </c>
      <c r="E9" s="8">
        <v>-22124.12</v>
      </c>
      <c r="F9" s="8">
        <v>22124.12</v>
      </c>
      <c r="G9" s="4"/>
    </row>
    <row r="10" spans="1:7" ht="29" customHeight="1" x14ac:dyDescent="0.35">
      <c r="A10" s="6" t="s">
        <v>160</v>
      </c>
      <c r="B10" s="11">
        <v>530104</v>
      </c>
      <c r="C10" s="11">
        <v>2343</v>
      </c>
      <c r="D10" s="11">
        <v>527761</v>
      </c>
      <c r="E10" s="8">
        <v>395251.48</v>
      </c>
      <c r="F10" s="8">
        <v>395251.48</v>
      </c>
      <c r="G10" s="4"/>
    </row>
    <row r="11" spans="1:7" ht="29" customHeight="1" x14ac:dyDescent="0.35">
      <c r="A11" s="6" t="s">
        <v>161</v>
      </c>
      <c r="B11" s="11">
        <v>527761</v>
      </c>
      <c r="C11" s="11">
        <v>5221</v>
      </c>
      <c r="D11" s="11">
        <v>522540</v>
      </c>
      <c r="E11" s="8">
        <v>24213.74</v>
      </c>
      <c r="F11" s="8">
        <v>24213.74</v>
      </c>
      <c r="G11" s="4"/>
    </row>
    <row r="12" spans="1:7" ht="20" customHeight="1" x14ac:dyDescent="0.35">
      <c r="A12" s="4"/>
      <c r="B12" s="4"/>
      <c r="C12" s="4"/>
      <c r="D12" s="4"/>
      <c r="E12" s="4"/>
      <c r="F12" s="4"/>
      <c r="G12" s="4"/>
    </row>
    <row r="13" spans="1:7" ht="20" customHeight="1" x14ac:dyDescent="0.35">
      <c r="A13" s="4" t="s">
        <v>162</v>
      </c>
      <c r="B13" s="4"/>
      <c r="C13" s="27">
        <f>SUM(C6:C11)</f>
        <v>19369</v>
      </c>
      <c r="D13" s="4"/>
      <c r="E13" s="4"/>
      <c r="F13" s="4"/>
      <c r="G13" s="4"/>
    </row>
    <row r="14" spans="1:7" ht="20" customHeight="1" x14ac:dyDescent="0.35">
      <c r="A14" s="4"/>
      <c r="B14" s="4"/>
      <c r="C14" s="4"/>
      <c r="D14" s="4"/>
      <c r="E14" s="4"/>
      <c r="F14" s="4"/>
      <c r="G14" s="4"/>
    </row>
    <row r="15" spans="1:7" ht="20" customHeight="1" x14ac:dyDescent="0.35">
      <c r="A15" s="4"/>
      <c r="B15" s="4"/>
      <c r="C15" s="4"/>
      <c r="D15" s="4"/>
      <c r="E15" s="4"/>
      <c r="F15" s="4"/>
      <c r="G15" s="4"/>
    </row>
    <row r="16" spans="1:7" ht="32" customHeight="1" x14ac:dyDescent="0.35">
      <c r="A16" s="5" t="s">
        <v>163</v>
      </c>
      <c r="B16" s="5" t="s">
        <v>164</v>
      </c>
      <c r="C16" s="5" t="s">
        <v>165</v>
      </c>
      <c r="D16" s="5" t="s">
        <v>166</v>
      </c>
      <c r="E16" s="4"/>
      <c r="F16" s="4"/>
      <c r="G16" s="4"/>
    </row>
    <row r="17" spans="1:7" ht="30" customHeight="1" x14ac:dyDescent="0.35">
      <c r="A17" s="6" t="s">
        <v>167</v>
      </c>
      <c r="B17" s="11">
        <v>135080</v>
      </c>
      <c r="C17" s="12">
        <f>B17/Sources!$B$28</f>
        <v>0.24926694334288599</v>
      </c>
      <c r="D17" s="6" t="s">
        <v>168</v>
      </c>
      <c r="E17" s="4"/>
      <c r="F17" s="4"/>
      <c r="G17" s="4"/>
    </row>
    <row r="18" spans="1:7" ht="30" customHeight="1" x14ac:dyDescent="0.35">
      <c r="A18" s="6" t="s">
        <v>135</v>
      </c>
      <c r="B18" s="11">
        <v>131387</v>
      </c>
      <c r="C18" s="12">
        <f>B18/Sources!$B$29</f>
        <v>0.25143912427756726</v>
      </c>
      <c r="D18" s="6" t="s">
        <v>169</v>
      </c>
      <c r="E18" s="4"/>
      <c r="F18" s="4"/>
      <c r="G18" s="4"/>
    </row>
    <row r="19" spans="1:7" ht="30" customHeight="1" x14ac:dyDescent="0.35">
      <c r="A19" s="6" t="s">
        <v>170</v>
      </c>
      <c r="B19" s="11">
        <v>1454</v>
      </c>
      <c r="C19" s="12">
        <f>B19/Sources!$B$28</f>
        <v>2.6831073113751571E-3</v>
      </c>
      <c r="D19" s="6" t="s">
        <v>171</v>
      </c>
      <c r="E19" s="4"/>
      <c r="F19" s="4"/>
      <c r="G19" s="4"/>
    </row>
    <row r="20" spans="1:7" ht="30" customHeight="1" x14ac:dyDescent="0.35">
      <c r="A20" s="6" t="s">
        <v>172</v>
      </c>
      <c r="B20" s="11">
        <v>9288</v>
      </c>
      <c r="C20" s="12">
        <f>B20/Sources!$B$28</f>
        <v>1.7139409015166755E-2</v>
      </c>
      <c r="D20" s="6" t="s">
        <v>171</v>
      </c>
      <c r="E20" s="4"/>
      <c r="F20" s="4"/>
      <c r="G20" s="4"/>
    </row>
    <row r="21" spans="1:7" ht="30" customHeight="1" x14ac:dyDescent="0.35">
      <c r="A21" s="6" t="s">
        <v>173</v>
      </c>
      <c r="B21" s="11">
        <v>10624</v>
      </c>
      <c r="C21" s="12">
        <f>B21/Sources!$B$28</f>
        <v>1.9604767590130447E-2</v>
      </c>
      <c r="D21" s="6" t="s">
        <v>171</v>
      </c>
      <c r="E21" s="4"/>
      <c r="F21" s="4"/>
      <c r="G21" s="4"/>
    </row>
    <row r="22" spans="1:7" ht="30" customHeight="1" x14ac:dyDescent="0.35">
      <c r="A22" s="6" t="s">
        <v>174</v>
      </c>
      <c r="B22" s="11">
        <v>2517</v>
      </c>
      <c r="C22" s="12">
        <f>B22/Sources!$B$28</f>
        <v>4.6446912673530055E-3</v>
      </c>
      <c r="D22" s="6" t="s">
        <v>171</v>
      </c>
      <c r="E22" s="4"/>
      <c r="F22" s="4"/>
      <c r="G22" s="4"/>
    </row>
    <row r="23" spans="1:7" ht="30" customHeight="1" x14ac:dyDescent="0.35">
      <c r="A23" s="6" t="s">
        <v>175</v>
      </c>
      <c r="B23" s="11">
        <v>5268</v>
      </c>
      <c r="C23" s="12">
        <f>B23/Sources!$B$28</f>
        <v>9.7211893509795925E-3</v>
      </c>
      <c r="D23" s="6" t="s">
        <v>176</v>
      </c>
      <c r="E23" s="4"/>
      <c r="F23" s="4"/>
      <c r="G23" s="4"/>
    </row>
    <row r="24" spans="1:7" ht="30" customHeight="1" x14ac:dyDescent="0.35">
      <c r="A24" s="6" t="s">
        <v>177</v>
      </c>
      <c r="B24" s="11">
        <v>0</v>
      </c>
      <c r="C24" s="12">
        <f>B24/Sources!$B$28</f>
        <v>0</v>
      </c>
      <c r="D24" s="6" t="s">
        <v>178</v>
      </c>
      <c r="E24" s="4"/>
      <c r="F24" s="4"/>
      <c r="G24" s="4"/>
    </row>
    <row r="25" spans="1:7" ht="20" customHeight="1" x14ac:dyDescent="0.35">
      <c r="A25" s="4"/>
      <c r="B25" s="4"/>
      <c r="C25" s="4"/>
      <c r="D25" s="4"/>
      <c r="E25" s="4"/>
      <c r="F25" s="4"/>
      <c r="G25" s="4"/>
    </row>
    <row r="26" spans="1:7" ht="20" customHeight="1" x14ac:dyDescent="0.35">
      <c r="A26" s="4"/>
      <c r="B26" s="4"/>
      <c r="C26" s="4"/>
      <c r="D26" s="4"/>
      <c r="E26" s="4"/>
      <c r="F26" s="4"/>
      <c r="G26" s="4"/>
    </row>
    <row r="27" spans="1:7" ht="25" customHeight="1" x14ac:dyDescent="0.35">
      <c r="A27" s="14" t="s">
        <v>179</v>
      </c>
      <c r="B27" s="2"/>
      <c r="C27" s="2"/>
      <c r="D27" s="2"/>
      <c r="E27" s="2"/>
      <c r="F27" s="2"/>
      <c r="G27" s="2"/>
    </row>
    <row r="28" spans="1:7" ht="38" customHeight="1" x14ac:dyDescent="0.35">
      <c r="A28" s="15" t="s">
        <v>180</v>
      </c>
      <c r="B28" s="2"/>
      <c r="C28" s="2"/>
      <c r="D28" s="2"/>
      <c r="E28" s="2"/>
      <c r="F28" s="2"/>
      <c r="G28" s="2"/>
    </row>
    <row r="29" spans="1:7" ht="38" customHeight="1" x14ac:dyDescent="0.35">
      <c r="A29" s="15" t="s">
        <v>181</v>
      </c>
      <c r="B29" s="2"/>
      <c r="C29" s="2"/>
      <c r="D29" s="2"/>
      <c r="E29" s="2"/>
      <c r="F29" s="2"/>
      <c r="G29" s="2"/>
    </row>
    <row r="30" spans="1:7" ht="38" customHeight="1" x14ac:dyDescent="0.35">
      <c r="A30" s="15" t="s">
        <v>182</v>
      </c>
      <c r="B30" s="2"/>
      <c r="C30" s="2"/>
      <c r="D30" s="2"/>
      <c r="E30" s="2"/>
      <c r="F30" s="2"/>
      <c r="G30" s="2"/>
    </row>
    <row r="31" spans="1:7" ht="38" customHeight="1" x14ac:dyDescent="0.35">
      <c r="A31" s="15" t="s">
        <v>183</v>
      </c>
      <c r="B31" s="2"/>
      <c r="C31" s="2"/>
      <c r="D31" s="2"/>
      <c r="E31" s="2"/>
      <c r="F31" s="2"/>
      <c r="G31" s="2"/>
    </row>
    <row r="32" spans="1:7" ht="38" customHeight="1" x14ac:dyDescent="0.35">
      <c r="A32" s="15" t="s">
        <v>184</v>
      </c>
      <c r="B32" s="2"/>
      <c r="C32" s="2"/>
      <c r="D32" s="2"/>
      <c r="E32" s="2"/>
      <c r="F32" s="2"/>
      <c r="G32" s="2"/>
    </row>
    <row r="33" spans="1:7" ht="38" customHeight="1" x14ac:dyDescent="0.35">
      <c r="A33" s="15" t="s">
        <v>185</v>
      </c>
      <c r="B33" s="2"/>
      <c r="C33" s="2"/>
      <c r="D33" s="2"/>
      <c r="E33" s="2"/>
      <c r="F33" s="2"/>
      <c r="G33" s="2"/>
    </row>
    <row r="34" spans="1:7" ht="20" customHeight="1" x14ac:dyDescent="0.35">
      <c r="A34" s="4"/>
      <c r="B34" s="4"/>
      <c r="C34" s="4"/>
      <c r="D34" s="4"/>
      <c r="E34" s="4"/>
      <c r="F34" s="4"/>
      <c r="G34" s="4"/>
    </row>
    <row r="35" spans="1:7" ht="20" customHeight="1" x14ac:dyDescent="0.35">
      <c r="A35" s="4"/>
      <c r="B35" s="4"/>
      <c r="C35" s="4"/>
      <c r="D35" s="4"/>
      <c r="E35" s="4"/>
      <c r="F35" s="4"/>
      <c r="G35" s="4"/>
    </row>
    <row r="36" spans="1:7" ht="20" customHeight="1" x14ac:dyDescent="0.35">
      <c r="A36" s="4"/>
      <c r="B36" s="4"/>
      <c r="C36" s="4"/>
      <c r="D36" s="4"/>
      <c r="E36" s="4"/>
      <c r="F36" s="4"/>
      <c r="G36" s="4"/>
    </row>
    <row r="37" spans="1:7" ht="20" customHeight="1" x14ac:dyDescent="0.35">
      <c r="A37" s="4"/>
      <c r="B37" s="4"/>
      <c r="C37" s="4"/>
      <c r="D37" s="4"/>
      <c r="E37" s="4"/>
      <c r="F37" s="4"/>
      <c r="G37" s="4"/>
    </row>
    <row r="38" spans="1:7" ht="20" customHeight="1" x14ac:dyDescent="0.35">
      <c r="A38" s="4"/>
      <c r="B38" s="4"/>
      <c r="C38" s="4"/>
      <c r="D38" s="4"/>
      <c r="E38" s="4"/>
      <c r="F38" s="4"/>
      <c r="G38" s="4"/>
    </row>
    <row r="39" spans="1:7" ht="20" customHeight="1" x14ac:dyDescent="0.35">
      <c r="A39" s="4"/>
      <c r="B39" s="4"/>
      <c r="C39" s="4"/>
      <c r="D39" s="4"/>
      <c r="E39" s="4"/>
      <c r="F39" s="4"/>
      <c r="G39" s="4"/>
    </row>
    <row r="40" spans="1:7" ht="20" customHeight="1" x14ac:dyDescent="0.35">
      <c r="A40" s="4"/>
      <c r="B40" s="4"/>
      <c r="C40" s="4"/>
      <c r="D40" s="4"/>
      <c r="E40" s="4"/>
      <c r="F40" s="4"/>
      <c r="G40" s="4"/>
    </row>
    <row r="41" spans="1:7" ht="20" customHeight="1" x14ac:dyDescent="0.35">
      <c r="A41" s="4"/>
      <c r="B41" s="4"/>
      <c r="C41" s="4"/>
      <c r="D41" s="4"/>
      <c r="E41" s="4"/>
      <c r="F41" s="4"/>
      <c r="G41" s="4"/>
    </row>
    <row r="42" spans="1:7" ht="20" customHeight="1" x14ac:dyDescent="0.35">
      <c r="A42" s="4"/>
      <c r="B42" s="4"/>
      <c r="C42" s="4"/>
      <c r="D42" s="4"/>
      <c r="E42" s="4"/>
      <c r="F42" s="4"/>
      <c r="G42" s="4"/>
    </row>
    <row r="43" spans="1:7" ht="20" customHeight="1" x14ac:dyDescent="0.35">
      <c r="A43" s="4"/>
      <c r="B43" s="4"/>
      <c r="C43" s="4"/>
      <c r="D43" s="4"/>
      <c r="E43" s="4"/>
      <c r="F43" s="4"/>
      <c r="G43" s="4"/>
    </row>
    <row r="44" spans="1:7" ht="20" customHeight="1" x14ac:dyDescent="0.35">
      <c r="A44" s="4"/>
      <c r="B44" s="4"/>
      <c r="C44" s="4"/>
      <c r="D44" s="4"/>
      <c r="E44" s="4"/>
      <c r="F44" s="4"/>
      <c r="G44" s="4"/>
    </row>
    <row r="45" spans="1:7" ht="20" customHeight="1" x14ac:dyDescent="0.35">
      <c r="A45" s="4"/>
      <c r="B45" s="4"/>
      <c r="C45" s="4"/>
      <c r="D45" s="4"/>
      <c r="E45" s="4"/>
      <c r="F45" s="4"/>
      <c r="G45" s="4"/>
    </row>
    <row r="46" spans="1:7" ht="20" customHeight="1" x14ac:dyDescent="0.35">
      <c r="A46" s="4"/>
      <c r="B46" s="4"/>
      <c r="C46" s="4"/>
      <c r="D46" s="4"/>
      <c r="E46" s="4"/>
      <c r="F46" s="4"/>
      <c r="G46" s="4"/>
    </row>
    <row r="47" spans="1:7" ht="20" customHeight="1" x14ac:dyDescent="0.35">
      <c r="A47" s="4"/>
      <c r="B47" s="4"/>
      <c r="C47" s="4"/>
      <c r="D47" s="4"/>
      <c r="E47" s="4"/>
      <c r="F47" s="4"/>
      <c r="G47" s="4"/>
    </row>
    <row r="48" spans="1:7" ht="20" customHeight="1" x14ac:dyDescent="0.35">
      <c r="A48" s="4"/>
      <c r="B48" s="4"/>
      <c r="C48" s="4"/>
      <c r="D48" s="4"/>
      <c r="E48" s="4"/>
      <c r="F48" s="4"/>
      <c r="G48" s="4"/>
    </row>
    <row r="49" spans="1:7" ht="20" customHeight="1" x14ac:dyDescent="0.35">
      <c r="A49" s="4"/>
      <c r="B49" s="4"/>
      <c r="C49" s="4"/>
      <c r="D49" s="4"/>
      <c r="E49" s="4"/>
      <c r="F49" s="4"/>
      <c r="G49" s="4"/>
    </row>
    <row r="50" spans="1:7" ht="20" customHeight="1" x14ac:dyDescent="0.35">
      <c r="A50" s="4"/>
      <c r="B50" s="4"/>
      <c r="C50" s="4"/>
      <c r="D50" s="4"/>
      <c r="E50" s="4"/>
      <c r="F50" s="4"/>
      <c r="G50" s="4"/>
    </row>
    <row r="51" spans="1:7" ht="20" customHeight="1" x14ac:dyDescent="0.35">
      <c r="A51" s="4"/>
      <c r="B51" s="4"/>
      <c r="C51" s="4"/>
      <c r="D51" s="4"/>
      <c r="E51" s="4"/>
      <c r="F51" s="4"/>
      <c r="G51" s="4"/>
    </row>
    <row r="52" spans="1:7" ht="20" customHeight="1" x14ac:dyDescent="0.35">
      <c r="A52" s="4"/>
      <c r="B52" s="4"/>
      <c r="C52" s="4"/>
      <c r="D52" s="4"/>
      <c r="E52" s="4"/>
      <c r="F52" s="4"/>
      <c r="G52" s="4"/>
    </row>
    <row r="53" spans="1:7" ht="20" customHeight="1" x14ac:dyDescent="0.35">
      <c r="A53" s="4"/>
      <c r="B53" s="4"/>
      <c r="C53" s="4"/>
      <c r="D53" s="4"/>
      <c r="E53" s="4"/>
      <c r="F53" s="4"/>
      <c r="G53" s="4"/>
    </row>
    <row r="54" spans="1:7" ht="20" customHeight="1" x14ac:dyDescent="0.35">
      <c r="A54" s="4"/>
      <c r="B54" s="4"/>
      <c r="C54" s="4"/>
      <c r="D54" s="4"/>
      <c r="E54" s="4"/>
      <c r="F54" s="4"/>
      <c r="G54" s="4"/>
    </row>
    <row r="55" spans="1:7" ht="20" customHeight="1" x14ac:dyDescent="0.35">
      <c r="A55" s="4"/>
      <c r="B55" s="4"/>
      <c r="C55" s="4"/>
      <c r="D55" s="4"/>
      <c r="E55" s="4"/>
      <c r="F55" s="4"/>
      <c r="G55" s="4"/>
    </row>
    <row r="56" spans="1:7" ht="20" customHeight="1" x14ac:dyDescent="0.35">
      <c r="A56" s="4"/>
      <c r="B56" s="4"/>
      <c r="C56" s="4"/>
      <c r="D56" s="4"/>
      <c r="E56" s="4"/>
      <c r="F56" s="4"/>
      <c r="G56" s="4"/>
    </row>
    <row r="57" spans="1:7" ht="20" customHeight="1" x14ac:dyDescent="0.35">
      <c r="A57" s="4"/>
      <c r="B57" s="4"/>
      <c r="C57" s="4"/>
      <c r="D57" s="4"/>
      <c r="E57" s="4"/>
      <c r="F57" s="4"/>
      <c r="G57" s="4"/>
    </row>
    <row r="58" spans="1:7" ht="20" customHeight="1" x14ac:dyDescent="0.35">
      <c r="A58" s="4"/>
      <c r="B58" s="4"/>
      <c r="C58" s="4"/>
      <c r="D58" s="4"/>
      <c r="E58" s="4"/>
      <c r="F58" s="4"/>
      <c r="G58" s="4"/>
    </row>
    <row r="59" spans="1:7" ht="20" customHeight="1" x14ac:dyDescent="0.35">
      <c r="A59" s="4"/>
      <c r="B59" s="4"/>
      <c r="C59" s="4"/>
      <c r="D59" s="4"/>
      <c r="E59" s="4"/>
      <c r="F59" s="4"/>
      <c r="G59" s="4"/>
    </row>
    <row r="60" spans="1:7" ht="20" customHeight="1" x14ac:dyDescent="0.35">
      <c r="A60" s="4"/>
      <c r="B60" s="4"/>
      <c r="C60" s="4"/>
      <c r="D60" s="4"/>
      <c r="E60" s="4"/>
      <c r="F60" s="4"/>
      <c r="G60" s="4"/>
    </row>
    <row r="61" spans="1:7" ht="20" customHeight="1" x14ac:dyDescent="0.35">
      <c r="A61" s="4"/>
      <c r="B61" s="4"/>
      <c r="C61" s="4"/>
      <c r="D61" s="4"/>
      <c r="E61" s="4"/>
      <c r="F61" s="4"/>
      <c r="G61" s="4"/>
    </row>
    <row r="62" spans="1:7" ht="20" customHeight="1" x14ac:dyDescent="0.35">
      <c r="A62" s="4"/>
      <c r="B62" s="4"/>
      <c r="C62" s="4"/>
      <c r="D62" s="4"/>
      <c r="E62" s="4"/>
      <c r="F62" s="4"/>
      <c r="G62" s="4"/>
    </row>
    <row r="63" spans="1:7" ht="20" customHeight="1" x14ac:dyDescent="0.35">
      <c r="A63" s="4"/>
      <c r="B63" s="4"/>
      <c r="C63" s="4"/>
      <c r="D63" s="4"/>
      <c r="E63" s="4"/>
      <c r="F63" s="4"/>
      <c r="G63" s="4"/>
    </row>
    <row r="64" spans="1:7" ht="20" customHeight="1" x14ac:dyDescent="0.35">
      <c r="A64" s="4"/>
      <c r="B64" s="4"/>
      <c r="C64" s="4"/>
      <c r="D64" s="4"/>
      <c r="E64" s="4"/>
      <c r="F64" s="4"/>
      <c r="G64" s="4"/>
    </row>
    <row r="65" spans="1:7" ht="20" customHeight="1" x14ac:dyDescent="0.35">
      <c r="A65" s="4"/>
      <c r="B65" s="4"/>
      <c r="C65" s="4"/>
      <c r="D65" s="4"/>
      <c r="E65" s="4"/>
      <c r="F65" s="4"/>
      <c r="G65" s="4"/>
    </row>
    <row r="66" spans="1:7" ht="20" customHeight="1" x14ac:dyDescent="0.35">
      <c r="A66" s="4"/>
      <c r="B66" s="4"/>
      <c r="C66" s="4"/>
      <c r="D66" s="4"/>
      <c r="E66" s="4"/>
      <c r="F66" s="4"/>
      <c r="G66" s="4"/>
    </row>
    <row r="67" spans="1:7" ht="20" customHeight="1" x14ac:dyDescent="0.35">
      <c r="A67" s="4"/>
      <c r="B67" s="4"/>
      <c r="C67" s="4"/>
      <c r="D67" s="4"/>
      <c r="E67" s="4"/>
      <c r="F67" s="4"/>
      <c r="G67" s="4"/>
    </row>
    <row r="68" spans="1:7" ht="20" customHeight="1" x14ac:dyDescent="0.35">
      <c r="A68" s="4"/>
      <c r="B68" s="4"/>
      <c r="C68" s="4"/>
      <c r="D68" s="4"/>
      <c r="E68" s="4"/>
      <c r="F68" s="4"/>
      <c r="G68" s="4"/>
    </row>
    <row r="69" spans="1:7" ht="20" customHeight="1" x14ac:dyDescent="0.35">
      <c r="A69" s="4"/>
      <c r="B69" s="4"/>
      <c r="C69" s="4"/>
      <c r="D69" s="4"/>
      <c r="E69" s="4"/>
      <c r="F69" s="4"/>
      <c r="G69" s="4"/>
    </row>
    <row r="70" spans="1:7" ht="20" customHeight="1" x14ac:dyDescent="0.35">
      <c r="A70" s="4"/>
      <c r="B70" s="4"/>
      <c r="C70" s="4"/>
      <c r="D70" s="4"/>
      <c r="E70" s="4"/>
      <c r="F70" s="4"/>
      <c r="G70" s="4"/>
    </row>
    <row r="71" spans="1:7" ht="20" customHeight="1" x14ac:dyDescent="0.35">
      <c r="A71" s="4"/>
      <c r="B71" s="4"/>
      <c r="C71" s="4"/>
      <c r="D71" s="4"/>
      <c r="E71" s="4"/>
      <c r="F71" s="4"/>
      <c r="G71" s="4"/>
    </row>
    <row r="72" spans="1:7" ht="20" customHeight="1" x14ac:dyDescent="0.35">
      <c r="A72" s="4"/>
      <c r="B72" s="4"/>
      <c r="C72" s="4"/>
      <c r="D72" s="4"/>
      <c r="E72" s="4"/>
      <c r="F72" s="4"/>
      <c r="G72" s="4"/>
    </row>
    <row r="73" spans="1:7" ht="20" customHeight="1" x14ac:dyDescent="0.35">
      <c r="A73" s="4"/>
      <c r="B73" s="4"/>
      <c r="C73" s="4"/>
      <c r="D73" s="4"/>
      <c r="E73" s="4"/>
      <c r="F73" s="4"/>
      <c r="G73" s="4"/>
    </row>
    <row r="74" spans="1:7" ht="20" customHeight="1" x14ac:dyDescent="0.35">
      <c r="A74" s="4"/>
      <c r="B74" s="4"/>
      <c r="C74" s="4"/>
      <c r="D74" s="4"/>
      <c r="E74" s="4"/>
      <c r="F74" s="4"/>
      <c r="G74" s="4"/>
    </row>
    <row r="75" spans="1:7" ht="20" customHeight="1" x14ac:dyDescent="0.35">
      <c r="A75" s="4"/>
      <c r="B75" s="4"/>
      <c r="C75" s="4"/>
      <c r="D75" s="4"/>
      <c r="E75" s="4"/>
      <c r="F75" s="4"/>
      <c r="G75" s="4"/>
    </row>
    <row r="76" spans="1:7" ht="20" customHeight="1" x14ac:dyDescent="0.35">
      <c r="A76" s="4"/>
      <c r="B76" s="4"/>
      <c r="C76" s="4"/>
      <c r="D76" s="4"/>
      <c r="E76" s="4"/>
      <c r="F76" s="4"/>
      <c r="G76" s="4"/>
    </row>
    <row r="77" spans="1:7" ht="20" customHeight="1" x14ac:dyDescent="0.35">
      <c r="A77" s="4"/>
      <c r="B77" s="4"/>
      <c r="C77" s="4"/>
      <c r="D77" s="4"/>
      <c r="E77" s="4"/>
      <c r="F77" s="4"/>
      <c r="G77" s="4"/>
    </row>
    <row r="78" spans="1:7" ht="20" customHeight="1" x14ac:dyDescent="0.35">
      <c r="A78" s="4"/>
      <c r="B78" s="4"/>
      <c r="C78" s="4"/>
      <c r="D78" s="4"/>
      <c r="E78" s="4"/>
      <c r="F78" s="4"/>
      <c r="G78" s="4"/>
    </row>
    <row r="79" spans="1:7" ht="20" customHeight="1" x14ac:dyDescent="0.35">
      <c r="A79" s="4"/>
      <c r="B79" s="4"/>
      <c r="C79" s="4"/>
      <c r="D79" s="4"/>
      <c r="E79" s="4"/>
      <c r="F79" s="4"/>
      <c r="G79" s="4"/>
    </row>
    <row r="80" spans="1:7" ht="20" customHeight="1" x14ac:dyDescent="0.35">
      <c r="A80" s="4"/>
      <c r="B80" s="4"/>
      <c r="C80" s="4"/>
      <c r="D80" s="4"/>
      <c r="E80" s="4"/>
      <c r="F80" s="4"/>
      <c r="G80" s="4"/>
    </row>
    <row r="81" spans="1:7" ht="20" customHeight="1" x14ac:dyDescent="0.35">
      <c r="A81" s="4"/>
      <c r="B81" s="4"/>
      <c r="C81" s="4"/>
      <c r="D81" s="4"/>
      <c r="E81" s="4"/>
      <c r="F81" s="4"/>
      <c r="G81" s="4"/>
    </row>
  </sheetData>
  <mergeCells count="9">
    <mergeCell ref="A33:G33"/>
    <mergeCell ref="A28:G28"/>
    <mergeCell ref="A32:G32"/>
    <mergeCell ref="A1:G2"/>
    <mergeCell ref="A27:G27"/>
    <mergeCell ref="A31:G31"/>
    <mergeCell ref="A3:G3"/>
    <mergeCell ref="A30:G30"/>
    <mergeCell ref="A29:G29"/>
  </mergeCells>
  <printOptions horizontalCentered="1"/>
  <pageMargins left="0.25" right="0.25" top="0.35" bottom="0.35" header="0.5" footer="0.5"/>
  <pageSetup paperSize="8" orientation="landscape"/>
  <headerFooter>
    <oddFooter>&amp;C&amp;9 Retail Sales Analysis | &amp;A | Page &amp;P of &amp;N</oddFooter>
  </headerFooter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7E8B"/>
    <outlinePr summaryRight="0"/>
    <pageSetUpPr fitToPage="1"/>
  </sheetPr>
  <dimension ref="A1:G81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sqref="A1:G2"/>
    </sheetView>
  </sheetViews>
  <sheetFormatPr defaultRowHeight="14.5" x14ac:dyDescent="0.35"/>
  <cols>
    <col min="1" max="1" width="32" customWidth="1"/>
    <col min="2" max="2" width="21" customWidth="1"/>
    <col min="3" max="3" width="18" customWidth="1"/>
    <col min="4" max="4" width="22" customWidth="1"/>
    <col min="5" max="5" width="20" customWidth="1"/>
    <col min="6" max="6" width="19" customWidth="1"/>
    <col min="7" max="7" width="29" customWidth="1"/>
    <col min="8" max="8" width="3" customWidth="1"/>
    <col min="9" max="9" width="19" customWidth="1"/>
    <col min="10" max="10" width="21" customWidth="1"/>
    <col min="11" max="11" width="18" customWidth="1"/>
    <col min="12" max="12" width="16" customWidth="1"/>
  </cols>
  <sheetData>
    <row r="1" spans="1:7" ht="28" customHeight="1" x14ac:dyDescent="0.35">
      <c r="A1" s="1" t="s">
        <v>186</v>
      </c>
      <c r="B1" s="2"/>
      <c r="C1" s="2"/>
      <c r="D1" s="2"/>
      <c r="E1" s="2"/>
      <c r="F1" s="2"/>
      <c r="G1" s="2"/>
    </row>
    <row r="2" spans="1:7" ht="14" customHeight="1" x14ac:dyDescent="0.35">
      <c r="A2" s="2"/>
      <c r="B2" s="2"/>
      <c r="C2" s="2"/>
      <c r="D2" s="2"/>
      <c r="E2" s="2"/>
      <c r="F2" s="2"/>
      <c r="G2" s="2"/>
    </row>
    <row r="3" spans="1:7" ht="30" customHeight="1" x14ac:dyDescent="0.35">
      <c r="A3" s="15" t="s">
        <v>187</v>
      </c>
      <c r="B3" s="2"/>
      <c r="C3" s="2"/>
      <c r="D3" s="2"/>
      <c r="E3" s="2"/>
      <c r="F3" s="2"/>
      <c r="G3" s="2"/>
    </row>
    <row r="4" spans="1:7" ht="20" customHeight="1" x14ac:dyDescent="0.35">
      <c r="A4" s="4"/>
      <c r="B4" s="4"/>
      <c r="C4" s="4"/>
      <c r="D4" s="4"/>
      <c r="E4" s="4"/>
      <c r="F4" s="4"/>
      <c r="G4" s="4"/>
    </row>
    <row r="5" spans="1:7" ht="25" customHeight="1" x14ac:dyDescent="0.35">
      <c r="A5" s="14" t="s">
        <v>188</v>
      </c>
      <c r="B5" s="2"/>
      <c r="C5" s="2"/>
      <c r="D5" s="2"/>
      <c r="E5" s="2"/>
      <c r="F5" s="2"/>
      <c r="G5" s="2"/>
    </row>
    <row r="6" spans="1:7" ht="30" customHeight="1" x14ac:dyDescent="0.35">
      <c r="A6" s="15" t="s">
        <v>189</v>
      </c>
      <c r="B6" s="2"/>
      <c r="C6" s="2"/>
      <c r="D6" s="2"/>
      <c r="E6" s="2"/>
      <c r="F6" s="2"/>
      <c r="G6" s="2"/>
    </row>
    <row r="7" spans="1:7" ht="30" customHeight="1" x14ac:dyDescent="0.35">
      <c r="A7" s="15" t="s">
        <v>190</v>
      </c>
      <c r="B7" s="2"/>
      <c r="C7" s="2"/>
      <c r="D7" s="2"/>
      <c r="E7" s="2"/>
      <c r="F7" s="2"/>
      <c r="G7" s="2"/>
    </row>
    <row r="8" spans="1:7" ht="30" customHeight="1" x14ac:dyDescent="0.35">
      <c r="A8" s="15" t="s">
        <v>191</v>
      </c>
      <c r="B8" s="2"/>
      <c r="C8" s="2"/>
      <c r="D8" s="2"/>
      <c r="E8" s="2"/>
      <c r="F8" s="2"/>
      <c r="G8" s="2"/>
    </row>
    <row r="9" spans="1:7" ht="30" customHeight="1" x14ac:dyDescent="0.35">
      <c r="A9" s="15" t="s">
        <v>192</v>
      </c>
      <c r="B9" s="2"/>
      <c r="C9" s="2"/>
      <c r="D9" s="2"/>
      <c r="E9" s="2"/>
      <c r="F9" s="2"/>
      <c r="G9" s="2"/>
    </row>
    <row r="10" spans="1:7" ht="30" customHeight="1" x14ac:dyDescent="0.35">
      <c r="A10" s="15" t="s">
        <v>193</v>
      </c>
      <c r="B10" s="2"/>
      <c r="C10" s="2"/>
      <c r="D10" s="2"/>
      <c r="E10" s="2"/>
      <c r="F10" s="2"/>
      <c r="G10" s="2"/>
    </row>
    <row r="11" spans="1:7" ht="30" customHeight="1" x14ac:dyDescent="0.35">
      <c r="A11" s="15" t="s">
        <v>194</v>
      </c>
      <c r="B11" s="2"/>
      <c r="C11" s="2"/>
      <c r="D11" s="2"/>
      <c r="E11" s="2"/>
      <c r="F11" s="2"/>
      <c r="G11" s="2"/>
    </row>
    <row r="12" spans="1:7" ht="30" customHeight="1" x14ac:dyDescent="0.35">
      <c r="A12" s="15" t="s">
        <v>195</v>
      </c>
      <c r="B12" s="2"/>
      <c r="C12" s="2"/>
      <c r="D12" s="2"/>
      <c r="E12" s="2"/>
      <c r="F12" s="2"/>
      <c r="G12" s="2"/>
    </row>
    <row r="13" spans="1:7" ht="30" customHeight="1" x14ac:dyDescent="0.35">
      <c r="A13" s="15" t="s">
        <v>196</v>
      </c>
      <c r="B13" s="2"/>
      <c r="C13" s="2"/>
      <c r="D13" s="2"/>
      <c r="E13" s="2"/>
      <c r="F13" s="2"/>
      <c r="G13" s="2"/>
    </row>
    <row r="14" spans="1:7" ht="30" customHeight="1" x14ac:dyDescent="0.35">
      <c r="A14" s="15" t="s">
        <v>197</v>
      </c>
      <c r="B14" s="2"/>
      <c r="C14" s="2"/>
      <c r="D14" s="2"/>
      <c r="E14" s="2"/>
      <c r="F14" s="2"/>
      <c r="G14" s="2"/>
    </row>
    <row r="15" spans="1:7" ht="30" customHeight="1" x14ac:dyDescent="0.35">
      <c r="A15" s="15" t="s">
        <v>198</v>
      </c>
      <c r="B15" s="2"/>
      <c r="C15" s="2"/>
      <c r="D15" s="2"/>
      <c r="E15" s="2"/>
      <c r="F15" s="2"/>
      <c r="G15" s="2"/>
    </row>
    <row r="16" spans="1:7" ht="30" customHeight="1" x14ac:dyDescent="0.35">
      <c r="A16" s="15" t="s">
        <v>199</v>
      </c>
      <c r="B16" s="2"/>
      <c r="C16" s="2"/>
      <c r="D16" s="2"/>
      <c r="E16" s="2"/>
      <c r="F16" s="2"/>
      <c r="G16" s="2"/>
    </row>
    <row r="17" spans="1:7" ht="20" customHeight="1" x14ac:dyDescent="0.35">
      <c r="A17" s="4"/>
      <c r="B17" s="4"/>
      <c r="C17" s="4"/>
      <c r="D17" s="4"/>
      <c r="E17" s="4"/>
      <c r="F17" s="4"/>
      <c r="G17" s="4"/>
    </row>
    <row r="18" spans="1:7" ht="20" customHeight="1" x14ac:dyDescent="0.35">
      <c r="A18" s="4"/>
      <c r="B18" s="4"/>
      <c r="C18" s="4"/>
      <c r="D18" s="4"/>
      <c r="E18" s="4"/>
      <c r="F18" s="4"/>
      <c r="G18" s="4"/>
    </row>
    <row r="19" spans="1:7" ht="32" customHeight="1" x14ac:dyDescent="0.35">
      <c r="A19" s="5" t="s">
        <v>200</v>
      </c>
      <c r="B19" s="5" t="s">
        <v>201</v>
      </c>
      <c r="C19" s="5" t="s">
        <v>202</v>
      </c>
      <c r="D19" s="4"/>
      <c r="E19" s="4"/>
      <c r="F19" s="4"/>
      <c r="G19" s="4"/>
    </row>
    <row r="20" spans="1:7" ht="20" customHeight="1" x14ac:dyDescent="0.35">
      <c r="A20" s="6" t="s">
        <v>32</v>
      </c>
      <c r="B20" s="8">
        <v>10247219.32</v>
      </c>
      <c r="C20" s="36" t="s">
        <v>203</v>
      </c>
      <c r="D20" s="4"/>
      <c r="E20" s="4"/>
      <c r="F20" s="4"/>
      <c r="G20" s="4"/>
    </row>
    <row r="21" spans="1:7" ht="20" customHeight="1" x14ac:dyDescent="0.35">
      <c r="A21" s="6" t="s">
        <v>33</v>
      </c>
      <c r="B21" s="11">
        <v>19773</v>
      </c>
      <c r="C21" s="36" t="s">
        <v>204</v>
      </c>
      <c r="D21" s="4"/>
      <c r="E21" s="4"/>
      <c r="F21" s="4"/>
      <c r="G21" s="4"/>
    </row>
    <row r="22" spans="1:7" ht="20" customHeight="1" x14ac:dyDescent="0.35">
      <c r="A22" s="6" t="s">
        <v>8</v>
      </c>
      <c r="B22" s="11">
        <v>5561387</v>
      </c>
      <c r="C22" s="36" t="s">
        <v>204</v>
      </c>
      <c r="D22" s="4"/>
      <c r="E22" s="4"/>
      <c r="F22" s="4"/>
      <c r="G22" s="4"/>
    </row>
    <row r="23" spans="1:7" ht="20" customHeight="1" x14ac:dyDescent="0.35">
      <c r="A23" s="6" t="s">
        <v>9</v>
      </c>
      <c r="B23" s="8">
        <v>518.24</v>
      </c>
      <c r="C23" s="36" t="s">
        <v>203</v>
      </c>
      <c r="D23" s="4"/>
      <c r="E23" s="4"/>
      <c r="F23" s="4"/>
      <c r="G23" s="4"/>
    </row>
    <row r="24" spans="1:7" ht="20" customHeight="1" x14ac:dyDescent="0.35">
      <c r="A24" s="6" t="s">
        <v>123</v>
      </c>
      <c r="B24" s="11">
        <v>4334</v>
      </c>
      <c r="C24" s="36" t="s">
        <v>204</v>
      </c>
      <c r="D24" s="4"/>
      <c r="E24" s="4"/>
      <c r="F24" s="4"/>
      <c r="G24" s="4"/>
    </row>
    <row r="25" spans="1:7" ht="20" customHeight="1" x14ac:dyDescent="0.35">
      <c r="A25" s="6" t="s">
        <v>11</v>
      </c>
      <c r="B25" s="11">
        <v>2829</v>
      </c>
      <c r="C25" s="36" t="s">
        <v>204</v>
      </c>
      <c r="D25" s="4"/>
      <c r="E25" s="4"/>
      <c r="F25" s="4"/>
      <c r="G25" s="4"/>
    </row>
    <row r="26" spans="1:7" ht="20" customHeight="1" x14ac:dyDescent="0.35">
      <c r="A26" s="6" t="s">
        <v>205</v>
      </c>
      <c r="B26" s="13">
        <v>0.65269999999999995</v>
      </c>
      <c r="C26" s="36" t="s">
        <v>206</v>
      </c>
      <c r="D26" s="4"/>
      <c r="E26" s="4"/>
      <c r="F26" s="4"/>
      <c r="G26" s="4"/>
    </row>
    <row r="27" spans="1:7" ht="20" customHeight="1" x14ac:dyDescent="0.35">
      <c r="A27" s="6" t="s">
        <v>207</v>
      </c>
      <c r="B27" s="11">
        <v>131387</v>
      </c>
      <c r="C27" s="36" t="s">
        <v>204</v>
      </c>
      <c r="D27" s="4"/>
      <c r="E27" s="4"/>
      <c r="F27" s="4"/>
      <c r="G27" s="4"/>
    </row>
    <row r="28" spans="1:7" ht="20" customHeight="1" x14ac:dyDescent="0.35">
      <c r="A28" s="6" t="s">
        <v>208</v>
      </c>
      <c r="B28" s="11">
        <v>541909</v>
      </c>
      <c r="C28" s="36" t="s">
        <v>204</v>
      </c>
      <c r="D28" s="4"/>
      <c r="E28" s="4"/>
      <c r="F28" s="4"/>
      <c r="G28" s="4"/>
    </row>
    <row r="29" spans="1:7" ht="20" customHeight="1" x14ac:dyDescent="0.35">
      <c r="A29" s="6" t="s">
        <v>209</v>
      </c>
      <c r="B29" s="11">
        <v>522540</v>
      </c>
      <c r="C29" s="36" t="s">
        <v>204</v>
      </c>
      <c r="D29" s="4"/>
      <c r="E29" s="4"/>
      <c r="F29" s="4"/>
      <c r="G29" s="4"/>
    </row>
    <row r="30" spans="1:7" ht="20" customHeight="1" x14ac:dyDescent="0.35">
      <c r="A30" s="6" t="s">
        <v>152</v>
      </c>
      <c r="B30" s="11">
        <v>19369</v>
      </c>
      <c r="C30" s="36" t="s">
        <v>204</v>
      </c>
      <c r="D30" s="4"/>
      <c r="E30" s="4"/>
      <c r="F30" s="4"/>
      <c r="G30" s="4"/>
    </row>
    <row r="31" spans="1:7" ht="20" customHeight="1" x14ac:dyDescent="0.35">
      <c r="A31" s="4"/>
      <c r="B31" s="4"/>
      <c r="C31" s="4"/>
      <c r="D31" s="4"/>
      <c r="E31" s="4"/>
      <c r="F31" s="4"/>
      <c r="G31" s="4"/>
    </row>
    <row r="32" spans="1:7" ht="20" customHeight="1" x14ac:dyDescent="0.35">
      <c r="A32" s="4"/>
      <c r="B32" s="4"/>
      <c r="C32" s="4"/>
      <c r="D32" s="4"/>
      <c r="E32" s="4"/>
      <c r="F32" s="4"/>
      <c r="G32" s="4"/>
    </row>
    <row r="33" spans="1:7" ht="25" customHeight="1" x14ac:dyDescent="0.35">
      <c r="A33" s="14" t="s">
        <v>210</v>
      </c>
      <c r="B33" s="2"/>
      <c r="C33" s="2"/>
      <c r="D33" s="2"/>
      <c r="E33" s="2"/>
      <c r="F33" s="2"/>
      <c r="G33" s="2"/>
    </row>
    <row r="34" spans="1:7" ht="38" customHeight="1" x14ac:dyDescent="0.35">
      <c r="A34" s="15" t="s">
        <v>211</v>
      </c>
      <c r="B34" s="2"/>
      <c r="C34" s="2"/>
      <c r="D34" s="2"/>
      <c r="E34" s="2"/>
      <c r="F34" s="2"/>
      <c r="G34" s="2"/>
    </row>
    <row r="35" spans="1:7" ht="38" customHeight="1" x14ac:dyDescent="0.35">
      <c r="A35" s="15" t="s">
        <v>212</v>
      </c>
      <c r="B35" s="2"/>
      <c r="C35" s="2"/>
      <c r="D35" s="2"/>
      <c r="E35" s="2"/>
      <c r="F35" s="2"/>
      <c r="G35" s="2"/>
    </row>
    <row r="36" spans="1:7" ht="38" customHeight="1" x14ac:dyDescent="0.35">
      <c r="A36" s="15" t="s">
        <v>213</v>
      </c>
      <c r="B36" s="2"/>
      <c r="C36" s="2"/>
      <c r="D36" s="2"/>
      <c r="E36" s="2"/>
      <c r="F36" s="2"/>
      <c r="G36" s="2"/>
    </row>
    <row r="37" spans="1:7" ht="38" customHeight="1" x14ac:dyDescent="0.35">
      <c r="A37" s="15" t="s">
        <v>214</v>
      </c>
      <c r="B37" s="2"/>
      <c r="C37" s="2"/>
      <c r="D37" s="2"/>
      <c r="E37" s="2"/>
      <c r="F37" s="2"/>
      <c r="G37" s="2"/>
    </row>
    <row r="38" spans="1:7" ht="38" customHeight="1" x14ac:dyDescent="0.35">
      <c r="A38" s="15" t="s">
        <v>215</v>
      </c>
      <c r="B38" s="2"/>
      <c r="C38" s="2"/>
      <c r="D38" s="2"/>
      <c r="E38" s="2"/>
      <c r="F38" s="2"/>
      <c r="G38" s="2"/>
    </row>
    <row r="39" spans="1:7" ht="38" customHeight="1" x14ac:dyDescent="0.35">
      <c r="A39" s="15" t="s">
        <v>216</v>
      </c>
      <c r="B39" s="2"/>
      <c r="C39" s="2"/>
      <c r="D39" s="2"/>
      <c r="E39" s="2"/>
      <c r="F39" s="2"/>
      <c r="G39" s="2"/>
    </row>
    <row r="40" spans="1:7" ht="38" customHeight="1" x14ac:dyDescent="0.35">
      <c r="A40" s="15" t="s">
        <v>217</v>
      </c>
      <c r="B40" s="2"/>
      <c r="C40" s="2"/>
      <c r="D40" s="2"/>
      <c r="E40" s="2"/>
      <c r="F40" s="2"/>
      <c r="G40" s="2"/>
    </row>
    <row r="41" spans="1:7" ht="20" customHeight="1" x14ac:dyDescent="0.35">
      <c r="A41" s="4"/>
      <c r="B41" s="4"/>
      <c r="C41" s="4"/>
      <c r="D41" s="4"/>
      <c r="E41" s="4"/>
      <c r="F41" s="4"/>
      <c r="G41" s="4"/>
    </row>
    <row r="42" spans="1:7" ht="20" customHeight="1" x14ac:dyDescent="0.35">
      <c r="A42" s="4"/>
      <c r="B42" s="4"/>
      <c r="C42" s="4"/>
      <c r="D42" s="4"/>
      <c r="E42" s="4"/>
      <c r="F42" s="4"/>
      <c r="G42" s="4"/>
    </row>
    <row r="43" spans="1:7" ht="25" customHeight="1" x14ac:dyDescent="0.35">
      <c r="A43" s="14" t="s">
        <v>218</v>
      </c>
      <c r="B43" s="2"/>
      <c r="C43" s="2"/>
      <c r="D43" s="2"/>
      <c r="E43" s="2"/>
      <c r="F43" s="2"/>
      <c r="G43" s="2"/>
    </row>
    <row r="44" spans="1:7" ht="44" customHeight="1" x14ac:dyDescent="0.35">
      <c r="A44" s="15" t="s">
        <v>227</v>
      </c>
      <c r="B44" s="2"/>
      <c r="C44" s="2"/>
      <c r="D44" s="2"/>
      <c r="E44" s="2"/>
      <c r="F44" s="2"/>
      <c r="G44" s="2"/>
    </row>
    <row r="45" spans="1:7" ht="44" customHeight="1" x14ac:dyDescent="0.35">
      <c r="A45" s="15" t="s">
        <v>219</v>
      </c>
      <c r="B45" s="2"/>
      <c r="C45" s="2"/>
      <c r="D45" s="2"/>
      <c r="E45" s="2"/>
      <c r="F45" s="2"/>
      <c r="G45" s="2"/>
    </row>
    <row r="46" spans="1:7" ht="44" customHeight="1" x14ac:dyDescent="0.35">
      <c r="A46" s="15" t="s">
        <v>220</v>
      </c>
      <c r="B46" s="2"/>
      <c r="C46" s="2"/>
      <c r="D46" s="2"/>
      <c r="E46" s="2"/>
      <c r="F46" s="2"/>
      <c r="G46" s="2"/>
    </row>
    <row r="47" spans="1:7" ht="44" customHeight="1" x14ac:dyDescent="0.35">
      <c r="A47" s="15" t="s">
        <v>221</v>
      </c>
      <c r="B47" s="2"/>
      <c r="C47" s="2"/>
      <c r="D47" s="2"/>
      <c r="E47" s="2"/>
      <c r="F47" s="2"/>
      <c r="G47" s="2"/>
    </row>
    <row r="48" spans="1:7" ht="44" customHeight="1" x14ac:dyDescent="0.35">
      <c r="A48" s="15" t="s">
        <v>222</v>
      </c>
      <c r="B48" s="2"/>
      <c r="C48" s="2"/>
      <c r="D48" s="2"/>
      <c r="E48" s="2"/>
      <c r="F48" s="2"/>
      <c r="G48" s="2"/>
    </row>
    <row r="49" spans="1:7" ht="44" customHeight="1" x14ac:dyDescent="0.35">
      <c r="A49" s="15" t="s">
        <v>223</v>
      </c>
      <c r="B49" s="2"/>
      <c r="C49" s="2"/>
      <c r="D49" s="2"/>
      <c r="E49" s="2"/>
      <c r="F49" s="2"/>
      <c r="G49" s="2"/>
    </row>
    <row r="50" spans="1:7" ht="20" customHeight="1" x14ac:dyDescent="0.35">
      <c r="A50" s="4"/>
      <c r="B50" s="4"/>
      <c r="C50" s="4"/>
      <c r="D50" s="4"/>
      <c r="E50" s="4"/>
      <c r="F50" s="4"/>
      <c r="G50" s="4"/>
    </row>
    <row r="51" spans="1:7" ht="20" customHeight="1" x14ac:dyDescent="0.35">
      <c r="A51" s="4"/>
      <c r="B51" s="4"/>
      <c r="C51" s="4"/>
      <c r="D51" s="4"/>
      <c r="E51" s="4"/>
      <c r="F51" s="4"/>
      <c r="G51" s="4"/>
    </row>
    <row r="52" spans="1:7" ht="20" customHeight="1" x14ac:dyDescent="0.35">
      <c r="A52" s="4"/>
      <c r="B52" s="4"/>
      <c r="C52" s="4"/>
      <c r="D52" s="4"/>
      <c r="E52" s="4"/>
      <c r="F52" s="4"/>
      <c r="G52" s="4"/>
    </row>
    <row r="53" spans="1:7" ht="20" customHeight="1" x14ac:dyDescent="0.35">
      <c r="A53" s="4"/>
      <c r="B53" s="4"/>
      <c r="C53" s="4"/>
      <c r="D53" s="4"/>
      <c r="E53" s="4"/>
      <c r="F53" s="4"/>
      <c r="G53" s="4"/>
    </row>
    <row r="54" spans="1:7" ht="20" customHeight="1" x14ac:dyDescent="0.35">
      <c r="A54" s="4"/>
      <c r="B54" s="4"/>
      <c r="C54" s="4"/>
      <c r="D54" s="4"/>
      <c r="E54" s="4"/>
      <c r="F54" s="4"/>
      <c r="G54" s="4"/>
    </row>
    <row r="55" spans="1:7" ht="20" customHeight="1" x14ac:dyDescent="0.35">
      <c r="A55" s="4"/>
      <c r="B55" s="4"/>
      <c r="C55" s="4"/>
      <c r="D55" s="4"/>
      <c r="E55" s="4"/>
      <c r="F55" s="4"/>
      <c r="G55" s="4"/>
    </row>
    <row r="56" spans="1:7" ht="20" customHeight="1" x14ac:dyDescent="0.35">
      <c r="A56" s="4"/>
      <c r="B56" s="4"/>
      <c r="C56" s="4"/>
      <c r="D56" s="4"/>
      <c r="E56" s="4"/>
      <c r="F56" s="4"/>
      <c r="G56" s="4"/>
    </row>
    <row r="57" spans="1:7" ht="20" customHeight="1" x14ac:dyDescent="0.35">
      <c r="A57" s="4"/>
      <c r="B57" s="4"/>
      <c r="C57" s="4"/>
      <c r="D57" s="4"/>
      <c r="E57" s="4"/>
      <c r="F57" s="4"/>
      <c r="G57" s="4"/>
    </row>
    <row r="58" spans="1:7" ht="20" customHeight="1" x14ac:dyDescent="0.35">
      <c r="A58" s="4"/>
      <c r="B58" s="4"/>
      <c r="C58" s="4"/>
      <c r="D58" s="4"/>
      <c r="E58" s="4"/>
      <c r="F58" s="4"/>
      <c r="G58" s="4"/>
    </row>
    <row r="59" spans="1:7" ht="20" customHeight="1" x14ac:dyDescent="0.35">
      <c r="A59" s="4"/>
      <c r="B59" s="4"/>
      <c r="C59" s="4"/>
      <c r="D59" s="4"/>
      <c r="E59" s="4"/>
      <c r="F59" s="4"/>
      <c r="G59" s="4"/>
    </row>
    <row r="60" spans="1:7" ht="20" customHeight="1" x14ac:dyDescent="0.35">
      <c r="A60" s="4"/>
      <c r="B60" s="4"/>
      <c r="C60" s="4"/>
      <c r="D60" s="4"/>
      <c r="E60" s="4"/>
      <c r="F60" s="4"/>
      <c r="G60" s="4"/>
    </row>
    <row r="61" spans="1:7" ht="20" customHeight="1" x14ac:dyDescent="0.35">
      <c r="A61" s="4"/>
      <c r="B61" s="4"/>
      <c r="C61" s="4"/>
      <c r="D61" s="4"/>
      <c r="E61" s="4"/>
      <c r="F61" s="4"/>
      <c r="G61" s="4"/>
    </row>
    <row r="62" spans="1:7" ht="20" customHeight="1" x14ac:dyDescent="0.35">
      <c r="A62" s="4"/>
      <c r="B62" s="4"/>
      <c r="C62" s="4"/>
      <c r="D62" s="4"/>
      <c r="E62" s="4"/>
      <c r="F62" s="4"/>
      <c r="G62" s="4"/>
    </row>
    <row r="63" spans="1:7" ht="20" customHeight="1" x14ac:dyDescent="0.35">
      <c r="A63" s="4"/>
      <c r="B63" s="4"/>
      <c r="C63" s="4"/>
      <c r="D63" s="4"/>
      <c r="E63" s="4"/>
      <c r="F63" s="4"/>
      <c r="G63" s="4"/>
    </row>
    <row r="64" spans="1:7" ht="20" customHeight="1" x14ac:dyDescent="0.35">
      <c r="A64" s="4"/>
      <c r="B64" s="4"/>
      <c r="C64" s="4"/>
      <c r="D64" s="4"/>
      <c r="E64" s="4"/>
      <c r="F64" s="4"/>
      <c r="G64" s="4"/>
    </row>
    <row r="65" spans="1:7" ht="20" customHeight="1" x14ac:dyDescent="0.35">
      <c r="A65" s="4"/>
      <c r="B65" s="4"/>
      <c r="C65" s="4"/>
      <c r="D65" s="4"/>
      <c r="E65" s="4"/>
      <c r="F65" s="4"/>
      <c r="G65" s="4"/>
    </row>
    <row r="66" spans="1:7" ht="20" customHeight="1" x14ac:dyDescent="0.35">
      <c r="A66" s="4"/>
      <c r="B66" s="4"/>
      <c r="C66" s="4"/>
      <c r="D66" s="4"/>
      <c r="E66" s="4"/>
      <c r="F66" s="4"/>
      <c r="G66" s="4"/>
    </row>
    <row r="67" spans="1:7" ht="20" customHeight="1" x14ac:dyDescent="0.35">
      <c r="A67" s="4"/>
      <c r="B67" s="4"/>
      <c r="C67" s="4"/>
      <c r="D67" s="4"/>
      <c r="E67" s="4"/>
      <c r="F67" s="4"/>
      <c r="G67" s="4"/>
    </row>
    <row r="68" spans="1:7" ht="20" customHeight="1" x14ac:dyDescent="0.35">
      <c r="A68" s="4"/>
      <c r="B68" s="4"/>
      <c r="C68" s="4"/>
      <c r="D68" s="4"/>
      <c r="E68" s="4"/>
      <c r="F68" s="4"/>
      <c r="G68" s="4"/>
    </row>
    <row r="69" spans="1:7" ht="20" customHeight="1" x14ac:dyDescent="0.35">
      <c r="A69" s="4"/>
      <c r="B69" s="4"/>
      <c r="C69" s="4"/>
      <c r="D69" s="4"/>
      <c r="E69" s="4"/>
      <c r="F69" s="4"/>
      <c r="G69" s="4"/>
    </row>
    <row r="70" spans="1:7" ht="20" customHeight="1" x14ac:dyDescent="0.35">
      <c r="A70" s="4"/>
      <c r="B70" s="4"/>
      <c r="C70" s="4"/>
      <c r="D70" s="4"/>
      <c r="E70" s="4"/>
      <c r="F70" s="4"/>
      <c r="G70" s="4"/>
    </row>
    <row r="71" spans="1:7" ht="20" customHeight="1" x14ac:dyDescent="0.35">
      <c r="A71" s="4"/>
      <c r="B71" s="4"/>
      <c r="C71" s="4"/>
      <c r="D71" s="4"/>
      <c r="E71" s="4"/>
      <c r="F71" s="4"/>
      <c r="G71" s="4"/>
    </row>
    <row r="72" spans="1:7" ht="20" customHeight="1" x14ac:dyDescent="0.35">
      <c r="A72" s="4"/>
      <c r="B72" s="4"/>
      <c r="C72" s="4"/>
      <c r="D72" s="4"/>
      <c r="E72" s="4"/>
      <c r="F72" s="4"/>
      <c r="G72" s="4"/>
    </row>
    <row r="73" spans="1:7" ht="20" customHeight="1" x14ac:dyDescent="0.35">
      <c r="A73" s="4"/>
      <c r="B73" s="4"/>
      <c r="C73" s="4"/>
      <c r="D73" s="4"/>
      <c r="E73" s="4"/>
      <c r="F73" s="4"/>
      <c r="G73" s="4"/>
    </row>
    <row r="74" spans="1:7" ht="20" customHeight="1" x14ac:dyDescent="0.35">
      <c r="A74" s="4"/>
      <c r="B74" s="4"/>
      <c r="C74" s="4"/>
      <c r="D74" s="4"/>
      <c r="E74" s="4"/>
      <c r="F74" s="4"/>
      <c r="G74" s="4"/>
    </row>
    <row r="75" spans="1:7" ht="20" customHeight="1" x14ac:dyDescent="0.35">
      <c r="A75" s="4"/>
      <c r="B75" s="4"/>
      <c r="C75" s="4"/>
      <c r="D75" s="4"/>
      <c r="E75" s="4"/>
      <c r="F75" s="4"/>
      <c r="G75" s="4"/>
    </row>
    <row r="76" spans="1:7" ht="20" customHeight="1" x14ac:dyDescent="0.35">
      <c r="A76" s="4"/>
      <c r="B76" s="4"/>
      <c r="C76" s="4"/>
      <c r="D76" s="4"/>
      <c r="E76" s="4"/>
      <c r="F76" s="4"/>
      <c r="G76" s="4"/>
    </row>
    <row r="77" spans="1:7" ht="20" customHeight="1" x14ac:dyDescent="0.35">
      <c r="A77" s="4"/>
      <c r="B77" s="4"/>
      <c r="C77" s="4"/>
      <c r="D77" s="4"/>
      <c r="E77" s="4"/>
      <c r="F77" s="4"/>
      <c r="G77" s="4"/>
    </row>
    <row r="78" spans="1:7" ht="20" customHeight="1" x14ac:dyDescent="0.35">
      <c r="A78" s="4"/>
      <c r="B78" s="4"/>
      <c r="C78" s="4"/>
      <c r="D78" s="4"/>
      <c r="E78" s="4"/>
      <c r="F78" s="4"/>
      <c r="G78" s="4"/>
    </row>
    <row r="79" spans="1:7" ht="20" customHeight="1" x14ac:dyDescent="0.35">
      <c r="A79" s="4"/>
      <c r="B79" s="4"/>
      <c r="C79" s="4"/>
      <c r="D79" s="4"/>
      <c r="E79" s="4"/>
      <c r="F79" s="4"/>
      <c r="G79" s="4"/>
    </row>
    <row r="80" spans="1:7" ht="20" customHeight="1" x14ac:dyDescent="0.35">
      <c r="A80" s="4"/>
      <c r="B80" s="4"/>
      <c r="C80" s="4"/>
      <c r="D80" s="4"/>
      <c r="E80" s="4"/>
      <c r="F80" s="4"/>
      <c r="G80" s="4"/>
    </row>
    <row r="81" spans="1:7" ht="20" customHeight="1" x14ac:dyDescent="0.35">
      <c r="A81" s="4"/>
      <c r="B81" s="4"/>
      <c r="C81" s="4"/>
      <c r="D81" s="4"/>
      <c r="E81" s="4"/>
      <c r="F81" s="4"/>
      <c r="G81" s="4"/>
    </row>
  </sheetData>
  <mergeCells count="29">
    <mergeCell ref="A48:G48"/>
    <mergeCell ref="A15:G15"/>
    <mergeCell ref="A11:G11"/>
    <mergeCell ref="A49:G49"/>
    <mergeCell ref="A45:G45"/>
    <mergeCell ref="A36:G36"/>
    <mergeCell ref="A16:G16"/>
    <mergeCell ref="A37:G37"/>
    <mergeCell ref="A46:G46"/>
    <mergeCell ref="A12:G12"/>
    <mergeCell ref="A33:G33"/>
    <mergeCell ref="A47:G47"/>
    <mergeCell ref="A43:G43"/>
    <mergeCell ref="A10:G10"/>
    <mergeCell ref="A13:G13"/>
    <mergeCell ref="A44:G44"/>
    <mergeCell ref="A40:G40"/>
    <mergeCell ref="A39:G39"/>
    <mergeCell ref="A34:G34"/>
    <mergeCell ref="A14:G14"/>
    <mergeCell ref="A1:G2"/>
    <mergeCell ref="A8:G8"/>
    <mergeCell ref="A35:G35"/>
    <mergeCell ref="A38:G38"/>
    <mergeCell ref="A9:G9"/>
    <mergeCell ref="A6:G6"/>
    <mergeCell ref="A7:G7"/>
    <mergeCell ref="A3:G3"/>
    <mergeCell ref="A5:G5"/>
  </mergeCells>
  <printOptions horizontalCentered="1"/>
  <pageMargins left="0.25" right="0.25" top="0.35" bottom="0.35" header="0.5" footer="0.5"/>
  <pageSetup paperSize="8" fitToHeight="2" orientation="landscape"/>
  <headerFooter>
    <oddFooter>&amp;C&amp;9 Retail Sales Analysis | &amp;A | 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Overview</vt:lpstr>
      <vt:lpstr>Monthly Sales</vt:lpstr>
      <vt:lpstr>Top Products</vt:lpstr>
      <vt:lpstr>Country Performance</vt:lpstr>
      <vt:lpstr>Customer Analysis</vt:lpstr>
      <vt:lpstr>Data Quality</vt:lpstr>
      <vt:lpstr>Sources</vt:lpstr>
      <vt:lpstr>'Country Performance'!Print_Area</vt:lpstr>
      <vt:lpstr>'Customer Analysis'!Print_Area</vt:lpstr>
      <vt:lpstr>'Data Quality'!Print_Area</vt:lpstr>
      <vt:lpstr>'Monthly Sales'!Print_Area</vt:lpstr>
      <vt:lpstr>Overview!Print_Area</vt:lpstr>
      <vt:lpstr>Sources!Print_Area</vt:lpstr>
      <vt:lpstr>'Top Products'!Print_Area</vt:lpstr>
      <vt:lpstr>'Country Performance'!Print_Titles</vt:lpstr>
      <vt:lpstr>'Customer Analysis'!Print_Titles</vt:lpstr>
      <vt:lpstr>'Data Quality'!Print_Titles</vt:lpstr>
      <vt:lpstr>'Monthly Sales'!Print_Titles</vt:lpstr>
      <vt:lpstr>Overview!Print_Titles</vt:lpstr>
      <vt:lpstr>Sources!Print_Titles</vt:lpstr>
      <vt:lpstr>'Top Products'!Print_Titles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intishenoo@gmail.com</cp:lastModifiedBy>
  <dcterms:created xsi:type="dcterms:W3CDTF">2026-10-17T17:41:11Z</dcterms:created>
  <dcterms:modified xsi:type="dcterms:W3CDTF">2026-10-17T17:41:17Z</dcterms:modified>
</cp:coreProperties>
</file>